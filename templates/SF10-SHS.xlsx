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autoCompressPictures="0"/>
  <mc:AlternateContent xmlns:mc="http://schemas.openxmlformats.org/markup-compatibility/2006">
    <mc:Choice Requires="x15">
      <x15ac:absPath xmlns:x15ac="http://schemas.microsoft.com/office/spreadsheetml/2010/11/ac" url="C:\Users\YZ ELX\Downloads\"/>
    </mc:Choice>
  </mc:AlternateContent>
  <workbookProtection lockStructure="1"/>
  <bookViews>
    <workbookView xWindow="0" yWindow="0" windowWidth="19200" windowHeight="8232" tabRatio="5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D84" i="5"/>
  <c r="BI84" i="5" s="1"/>
  <c r="K86" i="7" s="1"/>
  <c r="L86" i="7" s="1"/>
  <c r="BD83" i="5"/>
  <c r="BI83" i="5" s="1"/>
  <c r="K85" i="7" s="1"/>
  <c r="L85" i="7" s="1"/>
  <c r="K84" i="7"/>
  <c r="L84" i="7" s="1"/>
  <c r="K83" i="7"/>
  <c r="L83" i="7" s="1"/>
  <c r="K82" i="7"/>
  <c r="L82" i="7" s="1"/>
  <c r="K81" i="7"/>
  <c r="L81" i="7" s="1"/>
  <c r="BD82" i="5"/>
  <c r="BI82" i="5"/>
  <c r="K80" i="7" s="1"/>
  <c r="L80" i="7" s="1"/>
  <c r="BD81" i="5"/>
  <c r="BI81" i="5" s="1"/>
  <c r="BD41" i="5"/>
  <c r="BI41" i="5" s="1"/>
  <c r="K66" i="7" s="1"/>
  <c r="L66" i="7" s="1"/>
  <c r="BD40" i="5"/>
  <c r="BI40" i="5" s="1"/>
  <c r="K65" i="7" s="1"/>
  <c r="L65" i="7" s="1"/>
  <c r="K64" i="7"/>
  <c r="L64" i="7" s="1"/>
  <c r="K63" i="7"/>
  <c r="L63" i="7"/>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c r="BD58" i="4"/>
  <c r="BI58" i="4" s="1"/>
  <c r="BD54" i="5"/>
  <c r="BI54" i="5" s="1"/>
  <c r="K67" i="7" s="1"/>
  <c r="L67" i="7" s="1"/>
  <c r="BD11" i="5"/>
  <c r="BI11" i="5" s="1"/>
  <c r="AY52" i="5"/>
  <c r="AT52" i="5"/>
  <c r="AY9" i="5"/>
  <c r="AT9" i="5"/>
  <c r="AY72" i="4"/>
  <c r="AT72" i="4"/>
  <c r="AY29" i="4"/>
  <c r="AT29" i="4"/>
  <c r="BD31" i="4"/>
  <c r="BI31" i="4"/>
  <c r="K7" i="7" s="1"/>
  <c r="BI74" i="4"/>
  <c r="K27" i="7" s="1"/>
  <c r="L27" i="7" s="1"/>
  <c r="L37" i="7"/>
  <c r="L18" i="7"/>
  <c r="L10"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9" i="6" a="1"/>
  <c r="A9" i="6" s="1"/>
  <c r="A18" i="6" a="1"/>
  <c r="A18" i="6" s="1"/>
  <c r="A42" i="6" a="1"/>
  <c r="A42" i="6" s="1"/>
  <c r="A41" i="6" a="1"/>
  <c r="A41" i="6" s="1"/>
  <c r="L8" i="7"/>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<sst xmlns="http://schemas.openxmlformats.org/spreadsheetml/2006/main" count="305" uniqueCount="130">
  <si>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</si>
  <si>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</si>
  <si>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</si>
  <si>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</si>
  <si>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</si>
  <si>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</si>
  <si>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</si>
  <si>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</si>
  <si>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</si>
  <si>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</si>
  <si>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</si>
  <si>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</si>
  <si>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</si>
  <si>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</si>
  <si>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</si>
  <si>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</si>
  <si>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</si>
  <si>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</si>
  <si>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</si>
  <si>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</si>
  <si>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</si>
  <si>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</si>
  <si>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</si>
  <si>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</si>
  <si>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</si>
  <si>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</si>
  <si>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</si>
  <si>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</si>
  <si>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</si>
  <si>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</si>
  <si>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</si>
  <si>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</si>
  <si>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</si>
  <si>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</si>
  <si>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</si>
  <si>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</si>
  <si>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</si>
  <si>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</si>
  <si>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</si>
  <si>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</si>
  <si>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</si>
  <si>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</si>
  <si>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</si>
  <si>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</si>
  <si>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</si>
  <si>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</si>
  <si>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</si>
  <si>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</si>
  <si>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</si>
  <si>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</si>
  <si>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</si>
  <si>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</si>
  <si>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</si>
  <si>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</si>
  <si>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</si>
  <si>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</si>
  <si>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</si>
  <si>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</si>
  <si>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</si>
  <si>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</si>
  <si>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</si>
  <si>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</si>
  <si>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</si>
  <si>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</si>
  <si>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</si>
  <si>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</si>
  <si>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</si>
  <si>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</si>
  <si>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</si>
  <si>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</si>
  <si>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</si>
  <si>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</si>
  <si>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</si>
  <si>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</si>
  <si>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</si>
  <si>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</si>
  <si>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</si>
  <si>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</si>
  <si>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</si>
  <si>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</si>
  <si>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</si>
  <si>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</si>
  <si>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</si>
  <si>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</si>
  <si>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</si>
  <si>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</si>
  <si>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</si>
  <si>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</si>
  <si>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</si>
  <si>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</si>
  <si>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</si>
  <si>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</si>
  <si>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</si>
  <si>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</si>
  <si>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</si>
  <si>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</si>
  <si>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</si>
  <si>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</si>
  <si>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</si>
  <si>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</si>
  <si>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</si>
  <si>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</si>
  <si>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</si>
  <si>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</si>
  <si>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</si>
  <si>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</si>
  <si>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</si>
  <si>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</si>
  <si>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</si>
  <si>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</si>
  <si>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</si>
  <si>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</si>
  <si>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</si>
  <si>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</si>
  <si>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</si>
  <si>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ACADEMIC TRACK/ ACCOUNTANCY, BUSINESS AND MANAGEMENT STRAND</t>
  </si>
  <si>
    <t>MODESTY</t>
  </si>
  <si>
    <t>Other_Subjects</t>
  </si>
  <si>
    <t>Organization and Management</t>
  </si>
  <si>
    <t>Homeroom Guidance</t>
  </si>
  <si>
    <t>Trend, Networks, and Critical Thinking in the 21st Century</t>
  </si>
  <si>
    <t>PROMOTED</t>
  </si>
  <si>
    <t>MARILOU A. SEDON, GC-1</t>
  </si>
  <si>
    <t>BENEDICTA B. AQUILER</t>
  </si>
  <si>
    <t>2ND</t>
  </si>
  <si>
    <t>ACADEMIC TRACK/ GENERAL ACADEMIC STRAND</t>
  </si>
  <si>
    <t>ROWENA PIELAGO REOLO</t>
  </si>
  <si>
    <t>CRISTOBAL A. SAYAGO, ED.D</t>
  </si>
  <si>
    <t>Food and Beverage Services NC II</t>
  </si>
  <si>
    <t>PANTAO, LIBON, ALBAY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</si>
</sst>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5">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0" xfId="0" applyFont="1" applyBorder="1" applyAlignment="1" applyProtection="1">
      <alignment horizontal="center"/>
      <protection hidden="1"/>
    </xf>
    <xf numFmtId="0" fontId="13" fillId="0" borderId="0"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0" fontId="15" fillId="0" borderId="0" xfId="0" applyFont="1" applyAlignment="1" applyProtection="1">
      <alignment horizontal="center"/>
      <protection hidden="1"/>
    </xf>
    <xf numFmtId="0" fontId="2" fillId="0" borderId="0" xfId="0" applyFont="1" applyBorder="1" applyAlignment="1" applyProtection="1">
      <alignment horizontal="left"/>
      <protection hidden="1"/>
    </xf>
    <xf numFmtId="0" fontId="2"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5" fillId="0" borderId="0" xfId="0" applyFont="1" applyAlignment="1" applyProtection="1">
      <alignment horizontal="right"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0" fontId="1" fillId="0" borderId="0" xfId="0" applyFont="1" applyAlignment="1" applyProtection="1">
      <alignment horizontal="left" vertical="top" wrapText="1"/>
      <protection locked="0"/>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EL1149"/>
  <sheetViews>
    <sheetView showGridLines="0" tabSelected="1" topLeftCell="A77" zoomScale="91" zoomScaleNormal="91" zoomScalePageLayoutView="125" workbookViewId="0">
      <selection activeCell="A15" sqref="A15:BO15"/>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94</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7" t="s">
        <v>109</v>
      </c>
      <c r="BI1" s="157"/>
      <c r="BJ1" s="157"/>
      <c r="BK1" s="157"/>
      <c r="BL1" s="157"/>
      <c r="BM1" s="157"/>
      <c r="BN1" s="157"/>
      <c r="BO1" s="157"/>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3"/>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3"/>
    </row>
    <row r="8" spans="1:67" x14ac:dyDescent="0.3">
      <c r="A8" s="136" t="s">
        <v>24</v>
      </c>
      <c r="B8" s="136"/>
      <c r="C8" s="136"/>
      <c r="D8" s="136"/>
      <c r="E8" s="136"/>
      <c r="F8" s="84"/>
      <c r="G8" s="84"/>
      <c r="H8" s="84"/>
      <c r="I8" s="84"/>
      <c r="J8" s="84"/>
      <c r="K8" s="84"/>
      <c r="L8" s="84"/>
      <c r="M8" s="84"/>
      <c r="N8" s="84"/>
      <c r="O8" s="84"/>
      <c r="P8" s="84"/>
      <c r="Q8" s="84"/>
      <c r="R8" s="84"/>
      <c r="S8" s="84"/>
      <c r="T8" s="119" t="s">
        <v>23</v>
      </c>
      <c r="U8" s="119"/>
      <c r="V8" s="119"/>
      <c r="W8" s="119"/>
      <c r="X8" s="119"/>
      <c r="Y8" s="84"/>
      <c r="Z8" s="84"/>
      <c r="AA8" s="84"/>
      <c r="AB8" s="84"/>
      <c r="AC8" s="84"/>
      <c r="AD8" s="84"/>
      <c r="AE8" s="84"/>
      <c r="AF8" s="84"/>
      <c r="AG8" s="84"/>
      <c r="AH8" s="84"/>
      <c r="AI8" s="84"/>
      <c r="AJ8" s="84"/>
      <c r="AK8" s="84"/>
      <c r="AL8" s="84"/>
      <c r="AM8" s="84"/>
      <c r="AN8" s="84"/>
      <c r="AO8" s="84"/>
      <c r="AP8" s="84"/>
      <c r="AQ8" s="84"/>
      <c r="AR8" s="84"/>
      <c r="AS8" s="119" t="s">
        <v>22</v>
      </c>
      <c r="AT8" s="119"/>
      <c r="AU8" s="119"/>
      <c r="AV8" s="119"/>
      <c r="AW8" s="119"/>
      <c r="AX8" s="119"/>
      <c r="AY8" s="119"/>
      <c r="AZ8" s="84"/>
      <c r="BA8" s="84"/>
      <c r="BB8" s="84"/>
      <c r="BC8" s="84"/>
      <c r="BD8" s="84"/>
      <c r="BE8" s="84"/>
      <c r="BF8" s="84"/>
      <c r="BG8" s="84"/>
      <c r="BH8" s="84"/>
      <c r="BI8" s="84"/>
      <c r="BJ8" s="84"/>
      <c r="BK8" s="84"/>
      <c r="BL8" s="84"/>
      <c r="BM8" s="84"/>
      <c r="BN8" s="84"/>
      <c r="BO8" s="84"/>
    </row>
    <row r="9" spans="1:67" x14ac:dyDescent="0.3">
      <c r="A9" s="136" t="s">
        <v>25</v>
      </c>
      <c r="B9" s="136"/>
      <c r="C9" s="144"/>
      <c r="D9" s="144"/>
      <c r="E9" s="144"/>
      <c r="F9" s="144"/>
      <c r="G9" s="144"/>
      <c r="H9" s="144"/>
      <c r="I9" s="144"/>
      <c r="J9" s="144"/>
      <c r="K9" s="144"/>
      <c r="L9" s="144"/>
      <c r="M9" s="144"/>
      <c r="N9" s="144"/>
      <c r="O9" s="144"/>
      <c r="P9" s="144"/>
      <c r="Q9" s="144"/>
      <c r="R9" s="119" t="s">
        <v>29</v>
      </c>
      <c r="S9" s="119"/>
      <c r="T9" s="119"/>
      <c r="U9" s="119"/>
      <c r="V9" s="119"/>
      <c r="W9" s="119"/>
      <c r="X9" s="119"/>
      <c r="Y9" s="119"/>
      <c r="Z9" s="119"/>
      <c r="AA9" s="145"/>
      <c r="AB9" s="145"/>
      <c r="AC9" s="145"/>
      <c r="AD9" s="145"/>
      <c r="AE9" s="145"/>
      <c r="AF9" s="145"/>
      <c r="AG9" s="145"/>
      <c r="AH9" s="145"/>
      <c r="AI9" s="145"/>
      <c r="AJ9" s="145"/>
      <c r="AK9" s="145"/>
      <c r="AL9" s="56" t="s">
        <v>26</v>
      </c>
      <c r="AM9" s="56"/>
      <c r="AN9" s="117"/>
      <c r="AO9" s="117"/>
      <c r="AP9" s="117"/>
      <c r="AQ9" s="117"/>
      <c r="AR9" s="117"/>
      <c r="AS9" s="103" t="s">
        <v>30</v>
      </c>
      <c r="AT9" s="103"/>
      <c r="AU9" s="103"/>
      <c r="AV9" s="103"/>
      <c r="AW9" s="103"/>
      <c r="AX9" s="103"/>
      <c r="AY9" s="103"/>
      <c r="AZ9" s="103"/>
      <c r="BA9" s="103"/>
      <c r="BB9" s="103"/>
      <c r="BC9" s="103"/>
      <c r="BD9" s="103"/>
      <c r="BE9" s="103"/>
      <c r="BF9" s="103"/>
      <c r="BG9" s="103"/>
      <c r="BH9" s="146"/>
      <c r="BI9" s="146"/>
      <c r="BJ9" s="146"/>
      <c r="BK9" s="146"/>
      <c r="BL9" s="146"/>
      <c r="BM9" s="146"/>
      <c r="BN9" s="146"/>
      <c r="BO9" s="146"/>
    </row>
    <row r="10" spans="1:67" ht="9"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row>
    <row r="11" spans="1:67" x14ac:dyDescent="0.3">
      <c r="A11" s="128" t="s">
        <v>96</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3"/>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row>
    <row r="13" spans="1:67" x14ac:dyDescent="0.3">
      <c r="A13" s="1"/>
      <c r="B13" s="46" t="s">
        <v>98</v>
      </c>
      <c r="C13" s="8"/>
      <c r="D13" s="8"/>
      <c r="E13" s="8"/>
      <c r="F13" s="8"/>
      <c r="G13" s="8"/>
      <c r="K13" s="48" t="s">
        <v>31</v>
      </c>
      <c r="L13" s="48"/>
      <c r="M13" s="48"/>
      <c r="N13" s="144"/>
      <c r="O13" s="144"/>
      <c r="P13" s="144"/>
      <c r="S13" s="42" t="s">
        <v>111</v>
      </c>
      <c r="T13" s="46" t="s">
        <v>97</v>
      </c>
      <c r="AC13" s="32"/>
      <c r="AD13" s="48" t="s">
        <v>31</v>
      </c>
      <c r="AE13" s="48"/>
      <c r="AF13" s="48"/>
      <c r="AH13" s="144"/>
      <c r="AI13" s="144"/>
      <c r="AJ13" s="14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45">
        <v>43924</v>
      </c>
      <c r="Q14" s="145"/>
      <c r="R14" s="145"/>
      <c r="S14" s="145"/>
      <c r="T14" s="32"/>
      <c r="U14" s="49" t="s">
        <v>71</v>
      </c>
      <c r="V14" s="51"/>
      <c r="W14" s="51"/>
      <c r="X14" s="51"/>
      <c r="Y14" s="51"/>
      <c r="Z14" s="84" t="s">
        <v>112</v>
      </c>
      <c r="AA14" s="84"/>
      <c r="AB14" s="84"/>
      <c r="AC14" s="84"/>
      <c r="AD14" s="84"/>
      <c r="AE14" s="84"/>
      <c r="AF14" s="84"/>
      <c r="AG14" s="84"/>
      <c r="AH14" s="84"/>
      <c r="AI14" s="84"/>
      <c r="AJ14" s="84"/>
      <c r="AK14" s="84"/>
      <c r="AL14" s="84"/>
      <c r="AM14" s="84"/>
      <c r="AN14" s="84"/>
      <c r="AO14" s="84"/>
      <c r="AP14" s="84"/>
      <c r="AQ14" s="8" t="s">
        <v>70</v>
      </c>
      <c r="AR14" s="52"/>
      <c r="AS14" s="52"/>
      <c r="AU14" s="8"/>
      <c r="AV14" s="8"/>
      <c r="AW14" s="84" t="s">
        <v>129</v>
      </c>
      <c r="AX14" s="84"/>
      <c r="AY14" s="84"/>
      <c r="AZ14" s="84"/>
      <c r="BA14" s="84"/>
      <c r="BB14" s="84"/>
      <c r="BC14" s="84"/>
      <c r="BD14" s="84"/>
      <c r="BE14" s="84"/>
      <c r="BF14" s="84"/>
      <c r="BG14" s="84"/>
      <c r="BH14" s="84"/>
      <c r="BI14" s="84"/>
      <c r="BJ14" s="84"/>
      <c r="BK14" s="84"/>
      <c r="BL14" s="84"/>
      <c r="BM14" s="84"/>
      <c r="BN14" s="84"/>
      <c r="BO14" s="84"/>
    </row>
    <row r="15" spans="1:67" ht="3" customHeight="1" x14ac:dyDescent="0.3">
      <c r="A15" s="147"/>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row>
    <row r="16" spans="1:67" x14ac:dyDescent="0.3">
      <c r="A16" s="1"/>
      <c r="B16" s="121" t="s">
        <v>99</v>
      </c>
      <c r="C16" s="122"/>
      <c r="D16" s="122"/>
      <c r="E16" s="122"/>
      <c r="F16" s="122"/>
      <c r="G16" s="122"/>
      <c r="H16" s="103" t="s">
        <v>77</v>
      </c>
      <c r="I16" s="103"/>
      <c r="J16" s="103"/>
      <c r="K16" s="120"/>
      <c r="L16" s="120"/>
      <c r="M16" s="120"/>
      <c r="N16" s="120"/>
      <c r="O16" s="8"/>
      <c r="P16" s="10"/>
      <c r="S16" s="1"/>
      <c r="T16" s="46" t="s">
        <v>100</v>
      </c>
      <c r="Z16" s="119" t="s">
        <v>77</v>
      </c>
      <c r="AA16" s="119"/>
      <c r="AB16" s="119"/>
      <c r="AC16" s="120"/>
      <c r="AD16" s="120"/>
      <c r="AE16" s="120"/>
      <c r="AF16" s="120"/>
      <c r="AG16" s="10"/>
      <c r="AH16" s="1"/>
      <c r="AI16" s="8" t="s">
        <v>36</v>
      </c>
      <c r="AJ16" s="8"/>
      <c r="AK16" s="8"/>
      <c r="AL16" s="8"/>
      <c r="AM16" s="8"/>
      <c r="AN16" s="8"/>
      <c r="AO16" s="8"/>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103</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102</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101</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110</v>
      </c>
      <c r="BH19" s="53"/>
      <c r="BI19" s="53"/>
      <c r="BJ19" s="53"/>
      <c r="BK19" s="53"/>
      <c r="BL19" s="53"/>
      <c r="BM19" s="53"/>
      <c r="BN19" s="53"/>
      <c r="BO19" s="53"/>
    </row>
    <row r="20" spans="1:67" ht="2.2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row>
    <row r="23" spans="1:67" x14ac:dyDescent="0.3">
      <c r="A23" s="85" t="s">
        <v>34</v>
      </c>
      <c r="B23" s="85"/>
      <c r="C23" s="85"/>
      <c r="D23" s="85"/>
      <c r="E23" s="117" t="s">
        <v>112</v>
      </c>
      <c r="F23" s="87"/>
      <c r="G23" s="87"/>
      <c r="H23" s="87"/>
      <c r="I23" s="87"/>
      <c r="J23" s="87"/>
      <c r="K23" s="87"/>
      <c r="L23" s="87"/>
      <c r="M23" s="87"/>
      <c r="N23" s="87"/>
      <c r="O23" s="87"/>
      <c r="P23" s="87"/>
      <c r="Q23" s="87"/>
      <c r="R23" s="87"/>
      <c r="S23" s="87"/>
      <c r="T23" s="87"/>
      <c r="U23" s="87"/>
      <c r="V23" s="87"/>
      <c r="W23" s="87"/>
      <c r="X23" s="87"/>
      <c r="Y23" s="87"/>
      <c r="Z23" s="87"/>
      <c r="AA23" s="87"/>
      <c r="AB23" s="125" t="s">
        <v>46</v>
      </c>
      <c r="AC23" s="125"/>
      <c r="AD23" s="125"/>
      <c r="AE23" s="125"/>
      <c r="AF23" s="87">
        <v>301860</v>
      </c>
      <c r="AG23" s="87"/>
      <c r="AH23" s="87"/>
      <c r="AI23" s="87"/>
      <c r="AJ23" s="87"/>
      <c r="AK23" s="87"/>
      <c r="AL23" s="87"/>
      <c r="AM23" s="85" t="s">
        <v>35</v>
      </c>
      <c r="AN23" s="85"/>
      <c r="AO23" s="85"/>
      <c r="AP23" s="85"/>
      <c r="AQ23" s="85"/>
      <c r="AR23" s="85"/>
      <c r="AS23" s="87">
        <v>11</v>
      </c>
      <c r="AT23" s="87"/>
      <c r="AU23" s="87"/>
      <c r="AV23" s="87"/>
      <c r="AW23" s="87"/>
      <c r="AX23" s="87"/>
      <c r="AY23" s="85" t="s">
        <v>3</v>
      </c>
      <c r="AZ23" s="85"/>
      <c r="BA23" s="117" t="s">
        <v>113</v>
      </c>
      <c r="BB23" s="87"/>
      <c r="BC23" s="87"/>
      <c r="BD23" s="87"/>
      <c r="BE23" s="87"/>
      <c r="BF23" s="87"/>
      <c r="BG23" s="87"/>
      <c r="BH23" s="125" t="s">
        <v>4</v>
      </c>
      <c r="BI23" s="125"/>
      <c r="BJ23" s="125"/>
      <c r="BK23" s="87" t="s">
        <v>114</v>
      </c>
      <c r="BL23" s="87"/>
      <c r="BM23" s="87"/>
      <c r="BN23" s="87"/>
      <c r="BO23" s="87"/>
    </row>
    <row r="24" spans="1:67" ht="3"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row>
    <row r="25" spans="1:67" ht="15" customHeight="1" x14ac:dyDescent="0.3">
      <c r="A25" s="85" t="s">
        <v>37</v>
      </c>
      <c r="B25" s="85"/>
      <c r="C25" s="85"/>
      <c r="D25" s="85"/>
      <c r="E25" s="85"/>
      <c r="F25" s="85"/>
      <c r="G25" s="117" t="s">
        <v>115</v>
      </c>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125" t="s">
        <v>5</v>
      </c>
      <c r="AO25" s="125"/>
      <c r="AP25" s="125"/>
      <c r="AQ25" s="125"/>
      <c r="AR25" s="125"/>
      <c r="AS25" s="117" t="s">
        <v>116</v>
      </c>
      <c r="AT25" s="87"/>
      <c r="AU25" s="87"/>
      <c r="AV25" s="87"/>
      <c r="AW25" s="87"/>
      <c r="AX25" s="87"/>
      <c r="AY25" s="87"/>
      <c r="AZ25" s="87"/>
      <c r="BA25" s="87"/>
      <c r="BB25" s="87"/>
      <c r="BC25" s="87"/>
      <c r="BD25" s="87"/>
      <c r="BE25" s="87"/>
      <c r="BF25" s="87"/>
      <c r="BG25" s="87"/>
      <c r="BH25" s="87"/>
      <c r="BI25" s="87"/>
      <c r="BJ25" s="87"/>
      <c r="BK25" s="87"/>
      <c r="BL25" s="87"/>
      <c r="BM25" s="87"/>
      <c r="BN25" s="87"/>
      <c r="BO25" s="87"/>
    </row>
    <row r="26" spans="1:67" ht="3" customHeight="1" thickBot="1" x14ac:dyDescent="0.3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row>
    <row r="27" spans="1:67" ht="12" customHeight="1" x14ac:dyDescent="0.3">
      <c r="A27" s="67" t="s">
        <v>74</v>
      </c>
      <c r="B27" s="68"/>
      <c r="C27" s="68"/>
      <c r="D27" s="68"/>
      <c r="E27" s="68"/>
      <c r="F27" s="68"/>
      <c r="G27" s="68"/>
      <c r="H27" s="69"/>
      <c r="I27" s="88" t="s">
        <v>104</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5" t="s">
        <v>1</v>
      </c>
      <c r="AU27" s="95"/>
      <c r="AV27" s="95"/>
      <c r="AW27" s="95"/>
      <c r="AX27" s="95"/>
      <c r="AY27" s="95"/>
      <c r="AZ27" s="95"/>
      <c r="BA27" s="95"/>
      <c r="BB27" s="95"/>
      <c r="BC27" s="95"/>
      <c r="BD27" s="118" t="s">
        <v>41</v>
      </c>
      <c r="BE27" s="118"/>
      <c r="BF27" s="118"/>
      <c r="BG27" s="118"/>
      <c r="BH27" s="118"/>
      <c r="BI27" s="118" t="s">
        <v>2</v>
      </c>
      <c r="BJ27" s="118"/>
      <c r="BK27" s="118"/>
      <c r="BL27" s="118"/>
      <c r="BM27" s="118"/>
      <c r="BN27" s="118"/>
      <c r="BO27" s="130"/>
    </row>
    <row r="28" spans="1:67" ht="12" customHeight="1" x14ac:dyDescent="0.3">
      <c r="A28" s="67"/>
      <c r="B28" s="68"/>
      <c r="C28" s="68"/>
      <c r="D28" s="68"/>
      <c r="E28" s="68"/>
      <c r="F28" s="68"/>
      <c r="G28" s="68"/>
      <c r="H28" s="69"/>
      <c r="I28" s="88"/>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6"/>
      <c r="AU28" s="96"/>
      <c r="AV28" s="96"/>
      <c r="AW28" s="96"/>
      <c r="AX28" s="96"/>
      <c r="AY28" s="96"/>
      <c r="AZ28" s="96"/>
      <c r="BA28" s="96"/>
      <c r="BB28" s="96"/>
      <c r="BC28" s="96"/>
      <c r="BD28" s="106"/>
      <c r="BE28" s="106"/>
      <c r="BF28" s="106"/>
      <c r="BG28" s="106"/>
      <c r="BH28" s="106"/>
      <c r="BI28" s="106"/>
      <c r="BJ28" s="106"/>
      <c r="BK28" s="106"/>
      <c r="BL28" s="106"/>
      <c r="BM28" s="106"/>
      <c r="BN28" s="106"/>
      <c r="BO28" s="108"/>
    </row>
    <row r="29" spans="1:67" ht="12" customHeight="1" x14ac:dyDescent="0.3">
      <c r="A29" s="67"/>
      <c r="B29" s="68"/>
      <c r="C29" s="68"/>
      <c r="D29" s="68"/>
      <c r="E29" s="68"/>
      <c r="F29" s="68"/>
      <c r="G29" s="68"/>
      <c r="H29" s="69"/>
      <c r="I29" s="88"/>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6" t="str">
        <f>IF(BK23="","",IF(BK23="1ST","1ST",IF(BK23="2ND","3RD")))</f>
        <v>1ST</v>
      </c>
      <c r="AU29" s="96"/>
      <c r="AV29" s="96"/>
      <c r="AW29" s="96"/>
      <c r="AX29" s="96"/>
      <c r="AY29" s="96" t="str">
        <f>IF(BK23="","",IF(BK23="1ST","2ND",IF(BK23="2ND","4TH")))</f>
        <v>2ND</v>
      </c>
      <c r="AZ29" s="96"/>
      <c r="BA29" s="96"/>
      <c r="BB29" s="96"/>
      <c r="BC29" s="96"/>
      <c r="BD29" s="106"/>
      <c r="BE29" s="106"/>
      <c r="BF29" s="106"/>
      <c r="BG29" s="106"/>
      <c r="BH29" s="106"/>
      <c r="BI29" s="106"/>
      <c r="BJ29" s="106"/>
      <c r="BK29" s="106"/>
      <c r="BL29" s="106"/>
      <c r="BM29" s="106"/>
      <c r="BN29" s="106"/>
      <c r="BO29" s="108"/>
    </row>
    <row r="30" spans="1:67" ht="12" customHeight="1" x14ac:dyDescent="0.3">
      <c r="A30" s="70"/>
      <c r="B30" s="71"/>
      <c r="C30" s="71"/>
      <c r="D30" s="71"/>
      <c r="E30" s="71"/>
      <c r="F30" s="71"/>
      <c r="G30" s="71"/>
      <c r="H30" s="72"/>
      <c r="I30" s="91"/>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3"/>
      <c r="AT30" s="96"/>
      <c r="AU30" s="96"/>
      <c r="AV30" s="96"/>
      <c r="AW30" s="96"/>
      <c r="AX30" s="96"/>
      <c r="AY30" s="96"/>
      <c r="AZ30" s="96"/>
      <c r="BA30" s="96"/>
      <c r="BB30" s="96"/>
      <c r="BC30" s="96"/>
      <c r="BD30" s="106"/>
      <c r="BE30" s="106"/>
      <c r="BF30" s="106"/>
      <c r="BG30" s="106"/>
      <c r="BH30" s="106"/>
      <c r="BI30" s="106"/>
      <c r="BJ30" s="106"/>
      <c r="BK30" s="106"/>
      <c r="BL30" s="106"/>
      <c r="BM30" s="106"/>
      <c r="BN30" s="106"/>
      <c r="BO30" s="108"/>
    </row>
    <row r="31" spans="1:67" ht="20.100000000000001" customHeight="1" x14ac:dyDescent="0.3">
      <c r="A31" s="97" t="s">
        <v>38</v>
      </c>
      <c r="B31" s="65"/>
      <c r="C31" s="65"/>
      <c r="D31" s="65"/>
      <c r="E31" s="65"/>
      <c r="F31" s="65"/>
      <c r="G31" s="65"/>
      <c r="H31" s="66"/>
      <c r="I31" s="74" t="s">
        <v>9</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6"/>
      <c r="AT31" s="81"/>
      <c r="AU31" s="81"/>
      <c r="AV31" s="81"/>
      <c r="AW31" s="81"/>
      <c r="AX31" s="81"/>
      <c r="AY31" s="81"/>
      <c r="AZ31" s="81"/>
      <c r="BA31" s="81"/>
      <c r="BB31" s="81"/>
      <c r="BC31" s="81"/>
      <c r="BD31" s="61" t="str">
        <f>IF(OR(AT31="",AY31=""),"",IF(ISERROR(ROUND(AVERAGE(AT31,AY31),0)),"",ROUND(AVERAGE(AT31,AY31),0)))</f>
        <v/>
      </c>
      <c r="BE31" s="61"/>
      <c r="BF31" s="61"/>
      <c r="BG31" s="61"/>
      <c r="BH31" s="61"/>
      <c r="BI31" s="61" t="str">
        <f>IF(OR(AT31="",AY31="",BD31=""),"",IF(BD31&gt;=75,"PASSED","FAILED"))</f>
        <v/>
      </c>
      <c r="BJ31" s="61"/>
      <c r="BK31" s="61"/>
      <c r="BL31" s="61"/>
      <c r="BM31" s="61"/>
      <c r="BN31" s="61"/>
      <c r="BO31" s="62"/>
    </row>
    <row r="32" spans="1:67" ht="20.100000000000001" customHeight="1" x14ac:dyDescent="0.3">
      <c r="A32" s="97" t="s">
        <v>38</v>
      </c>
      <c r="B32" s="65"/>
      <c r="C32" s="65"/>
      <c r="D32" s="65"/>
      <c r="E32" s="65"/>
      <c r="F32" s="65"/>
      <c r="G32" s="65"/>
      <c r="H32" s="66"/>
      <c r="I32" s="74" t="s">
        <v>56</v>
      </c>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6"/>
      <c r="AT32" s="81"/>
      <c r="AU32" s="81"/>
      <c r="AV32" s="81"/>
      <c r="AW32" s="81"/>
      <c r="AX32" s="81"/>
      <c r="AY32" s="81"/>
      <c r="AZ32" s="81"/>
      <c r="BA32" s="81"/>
      <c r="BB32" s="81"/>
      <c r="BC32" s="81"/>
      <c r="BD32" s="58" t="str">
        <f t="shared" ref="BD32:BD42" si="0">IF(OR(AT32="",AY32=""),"",IF(ISERROR(ROUND(AVERAGE(AT32,AY32),0)),"",ROUND(AVERAGE(AT32,AY32),0)))</f>
        <v/>
      </c>
      <c r="BE32" s="59"/>
      <c r="BF32" s="59"/>
      <c r="BG32" s="59"/>
      <c r="BH32" s="60"/>
      <c r="BI32" s="58" t="str">
        <f t="shared" ref="BI32:BI42" si="1">IF(OR(AT32="",AY32="",BD32=""),"",IF(BD32&gt;=75,"PASSED","FAILED"))</f>
        <v/>
      </c>
      <c r="BJ32" s="59"/>
      <c r="BK32" s="59"/>
      <c r="BL32" s="59"/>
      <c r="BM32" s="59"/>
      <c r="BN32" s="59"/>
      <c r="BO32" s="102"/>
    </row>
    <row r="33" spans="1:67" ht="20.100000000000001" customHeight="1" x14ac:dyDescent="0.3">
      <c r="A33" s="97" t="s">
        <v>38</v>
      </c>
      <c r="B33" s="65"/>
      <c r="C33" s="65"/>
      <c r="D33" s="65"/>
      <c r="E33" s="65"/>
      <c r="F33" s="65"/>
      <c r="G33" s="65"/>
      <c r="H33" s="66"/>
      <c r="I33" s="74" t="s">
        <v>60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6"/>
      <c r="AT33" s="64"/>
      <c r="AU33" s="65"/>
      <c r="AV33" s="65"/>
      <c r="AW33" s="65"/>
      <c r="AX33" s="66"/>
      <c r="AY33" s="81"/>
      <c r="AZ33" s="81"/>
      <c r="BA33" s="81"/>
      <c r="BB33" s="81"/>
      <c r="BC33" s="81"/>
      <c r="BD33" s="58" t="str">
        <f t="shared" si="0"/>
        <v/>
      </c>
      <c r="BE33" s="59"/>
      <c r="BF33" s="59"/>
      <c r="BG33" s="59"/>
      <c r="BH33" s="60"/>
      <c r="BI33" s="58" t="str">
        <f t="shared" si="1"/>
        <v/>
      </c>
      <c r="BJ33" s="59"/>
      <c r="BK33" s="59"/>
      <c r="BL33" s="59"/>
      <c r="BM33" s="59"/>
      <c r="BN33" s="59"/>
      <c r="BO33" s="102"/>
    </row>
    <row r="34" spans="1:67" ht="20.100000000000001" customHeight="1" x14ac:dyDescent="0.3">
      <c r="A34" s="97" t="s">
        <v>38</v>
      </c>
      <c r="B34" s="65"/>
      <c r="C34" s="65"/>
      <c r="D34" s="65"/>
      <c r="E34" s="65"/>
      <c r="F34" s="65"/>
      <c r="G34" s="65"/>
      <c r="H34" s="66"/>
      <c r="I34" s="74" t="s">
        <v>10</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6"/>
      <c r="AT34" s="81"/>
      <c r="AU34" s="81"/>
      <c r="AV34" s="81"/>
      <c r="AW34" s="81"/>
      <c r="AX34" s="81"/>
      <c r="AY34" s="81"/>
      <c r="AZ34" s="81"/>
      <c r="BA34" s="81"/>
      <c r="BB34" s="81"/>
      <c r="BC34" s="81"/>
      <c r="BD34" s="58" t="str">
        <f t="shared" si="0"/>
        <v/>
      </c>
      <c r="BE34" s="59"/>
      <c r="BF34" s="59"/>
      <c r="BG34" s="59"/>
      <c r="BH34" s="60"/>
      <c r="BI34" s="58" t="str">
        <f t="shared" si="1"/>
        <v/>
      </c>
      <c r="BJ34" s="59"/>
      <c r="BK34" s="59"/>
      <c r="BL34" s="59"/>
      <c r="BM34" s="59"/>
      <c r="BN34" s="59"/>
      <c r="BO34" s="102"/>
    </row>
    <row r="35" spans="1:67" ht="20.100000000000001" customHeight="1" x14ac:dyDescent="0.3">
      <c r="A35" s="97" t="s">
        <v>38</v>
      </c>
      <c r="B35" s="65"/>
      <c r="C35" s="65"/>
      <c r="D35" s="65"/>
      <c r="E35" s="65"/>
      <c r="F35" s="65"/>
      <c r="G35" s="65"/>
      <c r="H35" s="66"/>
      <c r="I35" s="74" t="s">
        <v>14</v>
      </c>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81"/>
      <c r="AU35" s="81"/>
      <c r="AV35" s="81"/>
      <c r="AW35" s="81"/>
      <c r="AX35" s="81"/>
      <c r="AY35" s="81"/>
      <c r="AZ35" s="81"/>
      <c r="BA35" s="81"/>
      <c r="BB35" s="81"/>
      <c r="BC35" s="81"/>
      <c r="BD35" s="58" t="str">
        <f t="shared" si="0"/>
        <v/>
      </c>
      <c r="BE35" s="59"/>
      <c r="BF35" s="59"/>
      <c r="BG35" s="59"/>
      <c r="BH35" s="60"/>
      <c r="BI35" s="58" t="str">
        <f t="shared" si="1"/>
        <v/>
      </c>
      <c r="BJ35" s="59"/>
      <c r="BK35" s="59"/>
      <c r="BL35" s="59"/>
      <c r="BM35" s="59"/>
      <c r="BN35" s="59"/>
      <c r="BO35" s="102"/>
    </row>
    <row r="36" spans="1:67" ht="20.100000000000001" customHeight="1" x14ac:dyDescent="0.3">
      <c r="A36" s="97" t="s">
        <v>38</v>
      </c>
      <c r="B36" s="65"/>
      <c r="C36" s="65"/>
      <c r="D36" s="65"/>
      <c r="E36" s="65"/>
      <c r="F36" s="65"/>
      <c r="G36" s="65"/>
      <c r="H36" s="66"/>
      <c r="I36" s="74" t="s">
        <v>62</v>
      </c>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24"/>
      <c r="AU36" s="124"/>
      <c r="AV36" s="124"/>
      <c r="AW36" s="124"/>
      <c r="AX36" s="124"/>
      <c r="AY36" s="124"/>
      <c r="AZ36" s="124"/>
      <c r="BA36" s="124"/>
      <c r="BB36" s="124"/>
      <c r="BC36" s="124"/>
      <c r="BD36" s="58" t="str">
        <f t="shared" si="0"/>
        <v/>
      </c>
      <c r="BE36" s="59"/>
      <c r="BF36" s="59"/>
      <c r="BG36" s="59"/>
      <c r="BH36" s="60"/>
      <c r="BI36" s="58" t="str">
        <f t="shared" si="1"/>
        <v/>
      </c>
      <c r="BJ36" s="59"/>
      <c r="BK36" s="59"/>
      <c r="BL36" s="59"/>
      <c r="BM36" s="59"/>
      <c r="BN36" s="59"/>
      <c r="BO36" s="102"/>
    </row>
    <row r="37" spans="1:67" ht="20.100000000000001" customHeight="1" x14ac:dyDescent="0.3">
      <c r="A37" s="97" t="s">
        <v>38</v>
      </c>
      <c r="B37" s="65"/>
      <c r="C37" s="65"/>
      <c r="D37" s="65"/>
      <c r="E37" s="65"/>
      <c r="F37" s="65"/>
      <c r="G37" s="65"/>
      <c r="H37" s="66"/>
      <c r="I37" s="74" t="s">
        <v>63</v>
      </c>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6"/>
      <c r="AT37" s="64"/>
      <c r="AU37" s="65"/>
      <c r="AV37" s="65"/>
      <c r="AW37" s="65"/>
      <c r="AX37" s="66"/>
      <c r="AY37" s="64"/>
      <c r="AZ37" s="65"/>
      <c r="BA37" s="65"/>
      <c r="BB37" s="65"/>
      <c r="BC37" s="66"/>
      <c r="BD37" s="58" t="str">
        <f t="shared" si="0"/>
        <v/>
      </c>
      <c r="BE37" s="59"/>
      <c r="BF37" s="59"/>
      <c r="BG37" s="59"/>
      <c r="BH37" s="60"/>
      <c r="BI37" s="58" t="str">
        <f t="shared" si="1"/>
        <v/>
      </c>
      <c r="BJ37" s="59"/>
      <c r="BK37" s="59"/>
      <c r="BL37" s="59"/>
      <c r="BM37" s="59"/>
      <c r="BN37" s="59"/>
      <c r="BO37" s="102"/>
    </row>
    <row r="38" spans="1:67" ht="20.100000000000001" customHeight="1" x14ac:dyDescent="0.3">
      <c r="A38" s="97" t="s">
        <v>38</v>
      </c>
      <c r="B38" s="65"/>
      <c r="C38" s="65"/>
      <c r="D38" s="65"/>
      <c r="E38" s="65"/>
      <c r="F38" s="65"/>
      <c r="G38" s="65"/>
      <c r="H38" s="66"/>
      <c r="I38" s="74" t="s">
        <v>73</v>
      </c>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64"/>
      <c r="AU38" s="65"/>
      <c r="AV38" s="65"/>
      <c r="AW38" s="65"/>
      <c r="AX38" s="66"/>
      <c r="AY38" s="64"/>
      <c r="AZ38" s="65"/>
      <c r="BA38" s="65"/>
      <c r="BB38" s="65"/>
      <c r="BC38" s="66"/>
      <c r="BD38" s="58" t="str">
        <f t="shared" si="0"/>
        <v/>
      </c>
      <c r="BE38" s="59"/>
      <c r="BF38" s="59"/>
      <c r="BG38" s="59"/>
      <c r="BH38" s="60"/>
      <c r="BI38" s="58" t="str">
        <f t="shared" si="1"/>
        <v/>
      </c>
      <c r="BJ38" s="59"/>
      <c r="BK38" s="59"/>
      <c r="BL38" s="59"/>
      <c r="BM38" s="59"/>
      <c r="BN38" s="59"/>
      <c r="BO38" s="102"/>
    </row>
    <row r="39" spans="1:67" ht="20.100000000000001" customHeight="1" x14ac:dyDescent="0.3">
      <c r="A39" s="97" t="s">
        <v>40</v>
      </c>
      <c r="B39" s="65"/>
      <c r="C39" s="65"/>
      <c r="D39" s="65"/>
      <c r="E39" s="65"/>
      <c r="F39" s="65"/>
      <c r="G39" s="65"/>
      <c r="H39" s="66"/>
      <c r="I39" s="74" t="s">
        <v>118</v>
      </c>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64"/>
      <c r="AU39" s="65"/>
      <c r="AV39" s="65"/>
      <c r="AW39" s="65"/>
      <c r="AX39" s="66"/>
      <c r="AY39" s="64"/>
      <c r="AZ39" s="65"/>
      <c r="BA39" s="65"/>
      <c r="BB39" s="65"/>
      <c r="BC39" s="66"/>
      <c r="BD39" s="58" t="str">
        <f t="shared" si="0"/>
        <v/>
      </c>
      <c r="BE39" s="59"/>
      <c r="BF39" s="59"/>
      <c r="BG39" s="59"/>
      <c r="BH39" s="60"/>
      <c r="BI39" s="58" t="str">
        <f t="shared" si="1"/>
        <v/>
      </c>
      <c r="BJ39" s="59"/>
      <c r="BK39" s="59"/>
      <c r="BL39" s="59"/>
      <c r="BM39" s="59"/>
      <c r="BN39" s="59"/>
      <c r="BO39" s="102"/>
    </row>
    <row r="40" spans="1:67" ht="20.100000000000001" customHeight="1" x14ac:dyDescent="0.3">
      <c r="A40" s="97" t="s">
        <v>117</v>
      </c>
      <c r="B40" s="65"/>
      <c r="C40" s="65"/>
      <c r="D40" s="65"/>
      <c r="E40" s="65"/>
      <c r="F40" s="65"/>
      <c r="G40" s="65"/>
      <c r="H40" s="66"/>
      <c r="I40" s="74" t="s">
        <v>119</v>
      </c>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64"/>
      <c r="AU40" s="65"/>
      <c r="AV40" s="65"/>
      <c r="AW40" s="65"/>
      <c r="AX40" s="66"/>
      <c r="AY40" s="64"/>
      <c r="AZ40" s="65"/>
      <c r="BA40" s="65"/>
      <c r="BB40" s="65"/>
      <c r="BC40" s="66"/>
      <c r="BD40" s="58" t="str">
        <f t="shared" si="0"/>
        <v/>
      </c>
      <c r="BE40" s="59"/>
      <c r="BF40" s="59"/>
      <c r="BG40" s="59"/>
      <c r="BH40" s="60"/>
      <c r="BI40" s="58" t="str">
        <f t="shared" si="1"/>
        <v/>
      </c>
      <c r="BJ40" s="59"/>
      <c r="BK40" s="59"/>
      <c r="BL40" s="59"/>
      <c r="BM40" s="59"/>
      <c r="BN40" s="59"/>
      <c r="BO40" s="102"/>
    </row>
    <row r="41" spans="1:67" ht="20.100000000000001" customHeight="1" x14ac:dyDescent="0.3">
      <c r="A41" s="97"/>
      <c r="B41" s="65"/>
      <c r="C41" s="65"/>
      <c r="D41" s="65"/>
      <c r="E41" s="65"/>
      <c r="F41" s="65"/>
      <c r="G41" s="65"/>
      <c r="H41" s="66"/>
      <c r="I41" s="74"/>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6"/>
      <c r="AT41" s="63"/>
      <c r="AU41" s="63"/>
      <c r="AV41" s="63"/>
      <c r="AW41" s="63"/>
      <c r="AX41" s="63"/>
      <c r="AY41" s="63"/>
      <c r="AZ41" s="63"/>
      <c r="BA41" s="63"/>
      <c r="BB41" s="63"/>
      <c r="BC41" s="63"/>
      <c r="BD41" s="58" t="str">
        <f t="shared" si="0"/>
        <v/>
      </c>
      <c r="BE41" s="59"/>
      <c r="BF41" s="59"/>
      <c r="BG41" s="59"/>
      <c r="BH41" s="60"/>
      <c r="BI41" s="58" t="str">
        <f t="shared" si="1"/>
        <v/>
      </c>
      <c r="BJ41" s="59"/>
      <c r="BK41" s="59"/>
      <c r="BL41" s="59"/>
      <c r="BM41" s="59"/>
      <c r="BN41" s="59"/>
      <c r="BO41" s="102"/>
    </row>
    <row r="42" spans="1:67" ht="20.100000000000001" customHeight="1" x14ac:dyDescent="0.3">
      <c r="A42" s="97"/>
      <c r="B42" s="65"/>
      <c r="C42" s="65"/>
      <c r="D42" s="65"/>
      <c r="E42" s="65"/>
      <c r="F42" s="65"/>
      <c r="G42" s="65"/>
      <c r="H42" s="66"/>
      <c r="I42" s="74"/>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6"/>
      <c r="AT42" s="81"/>
      <c r="AU42" s="81"/>
      <c r="AV42" s="81"/>
      <c r="AW42" s="81"/>
      <c r="AX42" s="81"/>
      <c r="AY42" s="81"/>
      <c r="AZ42" s="81"/>
      <c r="BA42" s="81"/>
      <c r="BB42" s="81"/>
      <c r="BC42" s="81"/>
      <c r="BD42" s="58" t="str">
        <f t="shared" si="0"/>
        <v/>
      </c>
      <c r="BE42" s="59"/>
      <c r="BF42" s="59"/>
      <c r="BG42" s="59"/>
      <c r="BH42" s="60"/>
      <c r="BI42" s="58" t="str">
        <f t="shared" si="1"/>
        <v/>
      </c>
      <c r="BJ42" s="59"/>
      <c r="BK42" s="59"/>
      <c r="BL42" s="59"/>
      <c r="BM42" s="59"/>
      <c r="BN42" s="59"/>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t="str">
        <f>IFERROR(ROUND((SUM(BD31:BD42,BD58:BD61)-SUM(AT58:AT61))/(COUNTA(BD31:BD42)-COUNTBLANK(BD31:BD42)),0),"")</f>
        <v/>
      </c>
      <c r="BE43" s="99"/>
      <c r="BF43" s="99"/>
      <c r="BG43" s="99"/>
      <c r="BH43" s="100"/>
      <c r="BI43" s="98" t="str">
        <f>IF(BD43="","",IF(BD43&gt;=75,"PASSED","FAILED"))</f>
        <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49" t="s">
        <v>43</v>
      </c>
      <c r="B45" s="149"/>
      <c r="C45" s="149"/>
      <c r="D45" s="149"/>
      <c r="E45" s="151" t="s">
        <v>121</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49"/>
      <c r="AF46" s="149"/>
      <c r="AG46" s="149"/>
      <c r="AH46" s="149"/>
      <c r="AI46" s="149"/>
      <c r="AJ46" s="149"/>
      <c r="AK46" s="149"/>
      <c r="AL46" s="149"/>
      <c r="AM46" s="149"/>
      <c r="AN46" s="149"/>
      <c r="AO46" s="149"/>
      <c r="AP46" s="149"/>
      <c r="AQ46" s="149"/>
      <c r="AR46" s="149"/>
      <c r="AS46" s="149"/>
      <c r="AT46" s="149"/>
      <c r="AU46" s="149"/>
      <c r="AV46" s="149"/>
      <c r="AW46" s="149"/>
      <c r="AX46" s="149"/>
      <c r="AY46" s="149"/>
      <c r="AZ46" s="149"/>
      <c r="BA46" s="149"/>
      <c r="BB46" s="149"/>
      <c r="BC46" s="149"/>
      <c r="BD46" s="149"/>
      <c r="BE46" s="149"/>
      <c r="BF46" s="149"/>
      <c r="BG46" s="149"/>
      <c r="BH46" s="149"/>
      <c r="BI46" s="149"/>
      <c r="BJ46" s="149"/>
      <c r="BK46" s="149"/>
      <c r="BL46" s="149"/>
      <c r="BM46" s="149"/>
      <c r="BN46" s="149"/>
      <c r="BO46" s="149"/>
    </row>
    <row r="47" spans="1:67" x14ac:dyDescent="0.3">
      <c r="A47" s="148" t="s">
        <v>80</v>
      </c>
      <c r="B47" s="148"/>
      <c r="C47" s="148"/>
      <c r="D47" s="148"/>
      <c r="E47" s="148"/>
      <c r="F47" s="8"/>
      <c r="G47" s="8"/>
      <c r="H47" s="8"/>
      <c r="I47" s="8"/>
      <c r="J47" s="8"/>
      <c r="K47" s="8"/>
      <c r="L47" s="8"/>
      <c r="M47" s="8"/>
      <c r="N47" s="8"/>
      <c r="O47" s="8"/>
      <c r="P47" s="8"/>
      <c r="Q47" s="8"/>
      <c r="R47" s="8"/>
      <c r="S47" s="8"/>
      <c r="T47" s="8"/>
      <c r="U47" s="8"/>
      <c r="V47" s="148" t="s">
        <v>82</v>
      </c>
      <c r="W47" s="148"/>
      <c r="X47" s="148"/>
      <c r="Y47" s="148"/>
      <c r="Z47" s="148"/>
      <c r="AA47" s="148"/>
      <c r="AB47" s="148"/>
      <c r="AC47" s="148"/>
      <c r="AD47" s="148"/>
      <c r="AE47" s="148"/>
      <c r="AF47" s="11"/>
      <c r="AG47" s="57"/>
      <c r="AH47" s="57"/>
      <c r="AI47" s="57"/>
      <c r="AJ47" s="57"/>
      <c r="AK47" s="57"/>
      <c r="AL47" s="57"/>
      <c r="AM47" s="57"/>
      <c r="AN47" s="57"/>
      <c r="AO47" s="57"/>
      <c r="AP47" s="57"/>
      <c r="AQ47" s="57"/>
      <c r="AR47" s="57"/>
      <c r="AS47" s="57"/>
      <c r="AT47" s="5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56"/>
      <c r="B48" s="56"/>
      <c r="C48" s="56"/>
      <c r="D48" s="56"/>
      <c r="E48" s="56"/>
      <c r="F48" s="56"/>
      <c r="G48" s="56"/>
      <c r="H48" s="56"/>
      <c r="I48" s="56"/>
      <c r="J48" s="56"/>
      <c r="K48" s="56"/>
      <c r="L48" s="56"/>
      <c r="M48" s="56"/>
      <c r="N48" s="56"/>
      <c r="O48" s="56"/>
      <c r="P48" s="56"/>
      <c r="Q48" s="56"/>
      <c r="R48" s="9"/>
      <c r="S48" s="9"/>
      <c r="T48" s="9"/>
      <c r="U48" s="9"/>
      <c r="V48" s="9"/>
      <c r="W48" s="9"/>
      <c r="X48" s="9"/>
      <c r="Y48" s="57"/>
      <c r="Z48" s="57"/>
      <c r="AA48" s="57"/>
      <c r="AB48" s="57"/>
      <c r="AC48" s="57"/>
      <c r="AD48" s="57"/>
      <c r="AE48" s="57"/>
      <c r="AF48" s="57"/>
      <c r="AG48" s="57"/>
      <c r="AH48" s="57"/>
      <c r="AI48" s="57"/>
      <c r="AJ48" s="57"/>
      <c r="AK48" s="57"/>
      <c r="AL48" s="57"/>
      <c r="AM48" s="57"/>
      <c r="AN48" s="57"/>
      <c r="AO48" s="57"/>
      <c r="AP48" s="9"/>
      <c r="AQ48" s="9"/>
      <c r="AR48" s="9"/>
      <c r="AS48" s="9"/>
      <c r="AT48" s="10"/>
      <c r="AU48" s="56"/>
      <c r="AV48" s="56"/>
      <c r="AW48" s="56"/>
      <c r="AX48" s="56"/>
      <c r="AY48" s="56"/>
      <c r="AZ48" s="56"/>
      <c r="BA48" s="56"/>
      <c r="BB48" s="56"/>
      <c r="BC48" s="56"/>
      <c r="BD48" s="56"/>
      <c r="BE48" s="8"/>
      <c r="BF48" s="8"/>
      <c r="BG48" s="8"/>
      <c r="BH48" s="8"/>
      <c r="BI48" s="8"/>
      <c r="BJ48" s="8"/>
      <c r="BK48" s="8"/>
      <c r="BL48" s="8"/>
      <c r="BM48" s="8"/>
      <c r="BN48" s="8"/>
      <c r="BO48" s="8"/>
    </row>
    <row r="49" spans="1:67" x14ac:dyDescent="0.3">
      <c r="A49" s="115" t="s">
        <v>123</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122</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44238</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93</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row>
    <row r="52" spans="1:67" x14ac:dyDescent="0.3">
      <c r="A52" s="54" t="s">
        <v>45</v>
      </c>
      <c r="B52" s="54"/>
      <c r="C52" s="54"/>
      <c r="D52" s="54"/>
      <c r="E52" s="54"/>
      <c r="F52" s="54"/>
      <c r="G52" s="54"/>
      <c r="H52" s="54"/>
      <c r="I52" s="83" t="s">
        <v>108</v>
      </c>
      <c r="J52" s="83"/>
      <c r="K52" s="83"/>
      <c r="L52" s="83"/>
      <c r="M52" s="83"/>
      <c r="N52" s="83"/>
      <c r="O52" s="83"/>
      <c r="P52" s="83"/>
      <c r="Q52" s="83"/>
      <c r="R52" s="83"/>
      <c r="S52" s="82"/>
      <c r="T52" s="82"/>
      <c r="U52" s="82"/>
      <c r="V52" s="82"/>
      <c r="W52" s="83" t="s">
        <v>107</v>
      </c>
      <c r="X52" s="83"/>
      <c r="Y52" s="83"/>
      <c r="Z52" s="83"/>
      <c r="AA52" s="83"/>
      <c r="AB52" s="83"/>
      <c r="AC52" s="82"/>
      <c r="AD52" s="82"/>
      <c r="AE52" s="82"/>
      <c r="AF52" s="82"/>
      <c r="AH52" s="83" t="s">
        <v>34</v>
      </c>
      <c r="AI52" s="83"/>
      <c r="AJ52" s="83"/>
      <c r="AK52" s="83"/>
      <c r="AL52" s="84"/>
      <c r="AM52" s="84"/>
      <c r="AN52" s="84"/>
      <c r="AO52" s="84"/>
      <c r="AP52" s="84"/>
      <c r="AQ52" s="84"/>
      <c r="AR52" s="84"/>
      <c r="AS52" s="84"/>
      <c r="AT52" s="84"/>
      <c r="AU52" s="84"/>
      <c r="AV52" s="84"/>
      <c r="AW52" s="84"/>
      <c r="AX52" s="84"/>
      <c r="AY52" s="84"/>
      <c r="AZ52" s="84"/>
      <c r="BA52" s="84"/>
      <c r="BB52" s="84"/>
      <c r="BC52" s="84"/>
      <c r="BD52" s="84"/>
      <c r="BE52" s="84"/>
      <c r="BF52" s="85" t="s">
        <v>46</v>
      </c>
      <c r="BG52" s="85"/>
      <c r="BH52" s="85"/>
      <c r="BI52" s="85"/>
      <c r="BJ52" s="85"/>
      <c r="BK52" s="86"/>
      <c r="BL52" s="86"/>
      <c r="BM52" s="86"/>
      <c r="BN52" s="86"/>
      <c r="BO52" s="86"/>
    </row>
    <row r="53" spans="1:67" ht="3" customHeight="1" thickBot="1" x14ac:dyDescent="0.3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row>
    <row r="54" spans="1:67" ht="12" customHeight="1" x14ac:dyDescent="0.3">
      <c r="A54" s="109" t="s">
        <v>74</v>
      </c>
      <c r="B54" s="110"/>
      <c r="C54" s="110"/>
      <c r="D54" s="110"/>
      <c r="E54" s="110"/>
      <c r="F54" s="110"/>
      <c r="G54" s="110"/>
      <c r="H54" s="111"/>
      <c r="I54" s="154" t="s">
        <v>104</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7"/>
      <c r="B55" s="68"/>
      <c r="C55" s="68"/>
      <c r="D55" s="68"/>
      <c r="E55" s="68"/>
      <c r="F55" s="68"/>
      <c r="G55" s="68"/>
      <c r="H55" s="69"/>
      <c r="I55" s="88"/>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113"/>
      <c r="AU55" s="68"/>
      <c r="AV55" s="68"/>
      <c r="AW55" s="68"/>
      <c r="AX55" s="69"/>
      <c r="AY55" s="68"/>
      <c r="AZ55" s="68"/>
      <c r="BA55" s="68"/>
      <c r="BB55" s="68"/>
      <c r="BC55" s="69"/>
      <c r="BD55" s="106"/>
      <c r="BE55" s="106"/>
      <c r="BF55" s="106"/>
      <c r="BG55" s="106"/>
      <c r="BH55" s="106"/>
      <c r="BI55" s="106"/>
      <c r="BJ55" s="106"/>
      <c r="BK55" s="106"/>
      <c r="BL55" s="106"/>
      <c r="BM55" s="106"/>
      <c r="BN55" s="106"/>
      <c r="BO55" s="108"/>
    </row>
    <row r="56" spans="1:67" ht="12" customHeight="1" x14ac:dyDescent="0.3">
      <c r="A56" s="67"/>
      <c r="B56" s="68"/>
      <c r="C56" s="68"/>
      <c r="D56" s="68"/>
      <c r="E56" s="68"/>
      <c r="F56" s="68"/>
      <c r="G56" s="68"/>
      <c r="H56" s="69"/>
      <c r="I56" s="88"/>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113"/>
      <c r="AU56" s="68"/>
      <c r="AV56" s="68"/>
      <c r="AW56" s="68"/>
      <c r="AX56" s="69"/>
      <c r="AY56" s="68"/>
      <c r="AZ56" s="68"/>
      <c r="BA56" s="68"/>
      <c r="BB56" s="68"/>
      <c r="BC56" s="69"/>
      <c r="BD56" s="106"/>
      <c r="BE56" s="106"/>
      <c r="BF56" s="106"/>
      <c r="BG56" s="106"/>
      <c r="BH56" s="106"/>
      <c r="BI56" s="106"/>
      <c r="BJ56" s="106"/>
      <c r="BK56" s="106"/>
      <c r="BL56" s="106"/>
      <c r="BM56" s="106"/>
      <c r="BN56" s="106"/>
      <c r="BO56" s="108"/>
    </row>
    <row r="57" spans="1:67" ht="12" customHeight="1" x14ac:dyDescent="0.3">
      <c r="A57" s="70"/>
      <c r="B57" s="71"/>
      <c r="C57" s="71"/>
      <c r="D57" s="71"/>
      <c r="E57" s="71"/>
      <c r="F57" s="71"/>
      <c r="G57" s="71"/>
      <c r="H57" s="72"/>
      <c r="I57" s="91"/>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3"/>
      <c r="AT57" s="114"/>
      <c r="AU57" s="71"/>
      <c r="AV57" s="71"/>
      <c r="AW57" s="71"/>
      <c r="AX57" s="72"/>
      <c r="AY57" s="71"/>
      <c r="AZ57" s="71"/>
      <c r="BA57" s="71"/>
      <c r="BB57" s="71"/>
      <c r="BC57" s="72"/>
      <c r="BD57" s="106"/>
      <c r="BE57" s="106"/>
      <c r="BF57" s="106"/>
      <c r="BG57" s="106"/>
      <c r="BH57" s="106"/>
      <c r="BI57" s="106"/>
      <c r="BJ57" s="106"/>
      <c r="BK57" s="106"/>
      <c r="BL57" s="106"/>
      <c r="BM57" s="106"/>
      <c r="BN57" s="106"/>
      <c r="BO57" s="108"/>
    </row>
    <row r="58" spans="1:67" ht="18.899999999999999"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81"/>
      <c r="AU58" s="81"/>
      <c r="AV58" s="81"/>
      <c r="AW58" s="81"/>
      <c r="AX58" s="81"/>
      <c r="AY58" s="81"/>
      <c r="AZ58" s="81"/>
      <c r="BA58" s="81"/>
      <c r="BB58" s="81"/>
      <c r="BC58" s="81"/>
      <c r="BD58" s="61" t="str">
        <f>IF(OR(AT58="",AY58=""),"",IF(ISERROR(ROUND(AVERAGE(AT58,AY58),0)),"",ROUND(AVERAGE(AT58,AY58),0)))</f>
        <v/>
      </c>
      <c r="BE58" s="61"/>
      <c r="BF58" s="61"/>
      <c r="BG58" s="61"/>
      <c r="BH58" s="61"/>
      <c r="BI58" s="61" t="str">
        <f t="shared" ref="BI58:BI61" si="2">IF(OR(AT58="",AY58="",BD58=""),"",IF(BD58&gt;=75,"PASSED","FAILED"))</f>
        <v/>
      </c>
      <c r="BJ58" s="61"/>
      <c r="BK58" s="61"/>
      <c r="BL58" s="61"/>
      <c r="BM58" s="61"/>
      <c r="BN58" s="61"/>
      <c r="BO58" s="62"/>
    </row>
    <row r="59" spans="1:67" ht="18.899999999999999"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ref="BD59:BD61" si="3">IF(OR(AT59="",AY59=""),"",IF(ISERROR(ROUND(AVERAGE(AT59,AY59),0)),"",ROUND(AVERAGE(AT59,AY59),0)))</f>
        <v/>
      </c>
      <c r="BE59" s="59"/>
      <c r="BF59" s="59"/>
      <c r="BG59" s="59"/>
      <c r="BH59" s="60"/>
      <c r="BI59" s="58" t="str">
        <f t="shared" si="2"/>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81"/>
      <c r="AU60" s="81"/>
      <c r="AV60" s="81"/>
      <c r="AW60" s="81"/>
      <c r="AX60" s="81"/>
      <c r="AY60" s="81"/>
      <c r="AZ60" s="81"/>
      <c r="BA60" s="81"/>
      <c r="BB60" s="81"/>
      <c r="BC60" s="81"/>
      <c r="BD60" s="61" t="str">
        <f t="shared" si="3"/>
        <v/>
      </c>
      <c r="BE60" s="61"/>
      <c r="BF60" s="61"/>
      <c r="BG60" s="61"/>
      <c r="BH60" s="61"/>
      <c r="BI60" s="61" t="str">
        <f t="shared" si="2"/>
        <v/>
      </c>
      <c r="BJ60" s="61"/>
      <c r="BK60" s="61"/>
      <c r="BL60" s="61"/>
      <c r="BM60" s="61"/>
      <c r="BN60" s="61"/>
      <c r="BO60" s="62"/>
    </row>
    <row r="61" spans="1:67" ht="18.899999999999999" customHeight="1" thickBot="1" x14ac:dyDescent="0.35">
      <c r="A61" s="133"/>
      <c r="B61" s="134"/>
      <c r="C61" s="134"/>
      <c r="D61" s="134"/>
      <c r="E61" s="134"/>
      <c r="F61" s="134"/>
      <c r="G61" s="134"/>
      <c r="H61" s="135"/>
      <c r="I61" s="140"/>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2"/>
      <c r="AT61" s="77"/>
      <c r="AU61" s="77"/>
      <c r="AV61" s="77"/>
      <c r="AW61" s="77"/>
      <c r="AX61" s="77"/>
      <c r="AY61" s="77"/>
      <c r="AZ61" s="77"/>
      <c r="BA61" s="77"/>
      <c r="BB61" s="77"/>
      <c r="BC61" s="77"/>
      <c r="BD61" s="78" t="str">
        <f t="shared" si="3"/>
        <v/>
      </c>
      <c r="BE61" s="78"/>
      <c r="BF61" s="78"/>
      <c r="BG61" s="78"/>
      <c r="BH61" s="78"/>
      <c r="BI61" s="78" t="str">
        <f t="shared" si="2"/>
        <v/>
      </c>
      <c r="BJ61" s="78"/>
      <c r="BK61" s="78"/>
      <c r="BL61" s="78"/>
      <c r="BM61" s="78"/>
      <c r="BN61" s="78"/>
      <c r="BO61" s="79"/>
    </row>
    <row r="62" spans="1:67" ht="3" customHeight="1" x14ac:dyDescent="0.3">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row>
    <row r="63" spans="1:67" ht="22.5" customHeight="1" x14ac:dyDescent="0.3">
      <c r="A63" s="136" t="s">
        <v>44</v>
      </c>
      <c r="B63" s="136"/>
      <c r="C63" s="136"/>
      <c r="D63" s="136"/>
      <c r="E63" s="136"/>
      <c r="F63" s="136"/>
      <c r="G63" s="136"/>
      <c r="H63" s="136"/>
      <c r="I63" s="136"/>
      <c r="J63" s="115"/>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c r="AS63" s="153"/>
      <c r="AT63" s="103" t="s">
        <v>8</v>
      </c>
      <c r="AU63" s="103"/>
      <c r="AV63" s="103"/>
      <c r="AW63" s="103"/>
      <c r="AX63" s="103"/>
      <c r="AY63" s="152"/>
      <c r="AZ63" s="152"/>
      <c r="BA63" s="152"/>
      <c r="BB63" s="152"/>
      <c r="BC63" s="152"/>
      <c r="BD63" s="152"/>
      <c r="BE63" s="152"/>
      <c r="BF63" s="152"/>
      <c r="BG63" s="152"/>
      <c r="BH63" s="152"/>
      <c r="BI63" s="152"/>
      <c r="BJ63" s="152"/>
      <c r="BK63" s="152"/>
      <c r="BL63" s="152"/>
      <c r="BM63" s="152"/>
      <c r="BN63" s="152"/>
      <c r="BO63" s="152"/>
    </row>
    <row r="64" spans="1:67" ht="1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row>
    <row r="65" spans="1:67" ht="1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row>
    <row r="66" spans="1:67" x14ac:dyDescent="0.3">
      <c r="A66" s="85" t="s">
        <v>34</v>
      </c>
      <c r="B66" s="85"/>
      <c r="C66" s="85"/>
      <c r="D66" s="85"/>
      <c r="E66" s="117" t="s">
        <v>112</v>
      </c>
      <c r="F66" s="87"/>
      <c r="G66" s="87"/>
      <c r="H66" s="87"/>
      <c r="I66" s="87"/>
      <c r="J66" s="87"/>
      <c r="K66" s="87"/>
      <c r="L66" s="87"/>
      <c r="M66" s="87"/>
      <c r="N66" s="87"/>
      <c r="O66" s="87"/>
      <c r="P66" s="87"/>
      <c r="Q66" s="87"/>
      <c r="R66" s="87"/>
      <c r="S66" s="87"/>
      <c r="T66" s="87"/>
      <c r="U66" s="87"/>
      <c r="V66" s="87"/>
      <c r="W66" s="87"/>
      <c r="X66" s="87"/>
      <c r="Y66" s="87"/>
      <c r="Z66" s="87"/>
      <c r="AA66" s="87"/>
      <c r="AB66" s="125" t="s">
        <v>46</v>
      </c>
      <c r="AC66" s="125"/>
      <c r="AD66" s="125"/>
      <c r="AE66" s="125"/>
      <c r="AF66" s="87">
        <v>301860</v>
      </c>
      <c r="AG66" s="87"/>
      <c r="AH66" s="87"/>
      <c r="AI66" s="87"/>
      <c r="AJ66" s="87"/>
      <c r="AK66" s="87"/>
      <c r="AL66" s="87"/>
      <c r="AM66" s="85" t="s">
        <v>35</v>
      </c>
      <c r="AN66" s="85"/>
      <c r="AO66" s="85"/>
      <c r="AP66" s="85"/>
      <c r="AQ66" s="85"/>
      <c r="AR66" s="85"/>
      <c r="AS66" s="87">
        <v>11</v>
      </c>
      <c r="AT66" s="87"/>
      <c r="AU66" s="87"/>
      <c r="AV66" s="87"/>
      <c r="AW66" s="87"/>
      <c r="AX66" s="87"/>
      <c r="AY66" s="85" t="s">
        <v>3</v>
      </c>
      <c r="AZ66" s="85"/>
      <c r="BA66" s="117" t="s">
        <v>113</v>
      </c>
      <c r="BB66" s="87"/>
      <c r="BC66" s="87"/>
      <c r="BD66" s="87"/>
      <c r="BE66" s="87"/>
      <c r="BF66" s="87"/>
      <c r="BG66" s="87"/>
      <c r="BH66" s="125" t="s">
        <v>4</v>
      </c>
      <c r="BI66" s="125"/>
      <c r="BJ66" s="125"/>
      <c r="BK66" s="87" t="s">
        <v>124</v>
      </c>
      <c r="BL66" s="87"/>
      <c r="BM66" s="87"/>
      <c r="BN66" s="87"/>
      <c r="BO66" s="87"/>
    </row>
    <row r="67" spans="1:67" ht="3" customHeight="1" x14ac:dyDescent="0.3">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row>
    <row r="68" spans="1:67" x14ac:dyDescent="0.3">
      <c r="A68" s="85" t="s">
        <v>37</v>
      </c>
      <c r="B68" s="85"/>
      <c r="C68" s="85"/>
      <c r="D68" s="85"/>
      <c r="E68" s="85"/>
      <c r="F68" s="85"/>
      <c r="G68" s="117" t="s">
        <v>125</v>
      </c>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125" t="s">
        <v>5</v>
      </c>
      <c r="AO68" s="125"/>
      <c r="AP68" s="125"/>
      <c r="AQ68" s="125"/>
      <c r="AR68" s="125"/>
      <c r="AS68" s="117" t="s">
        <v>116</v>
      </c>
      <c r="AT68" s="87"/>
      <c r="AU68" s="87"/>
      <c r="AV68" s="87"/>
      <c r="AW68" s="87"/>
      <c r="AX68" s="87"/>
      <c r="AY68" s="87"/>
      <c r="AZ68" s="87"/>
      <c r="BA68" s="87"/>
      <c r="BB68" s="87"/>
      <c r="BC68" s="87"/>
      <c r="BD68" s="87"/>
      <c r="BE68" s="87"/>
      <c r="BF68" s="87"/>
      <c r="BG68" s="87"/>
      <c r="BH68" s="87"/>
      <c r="BI68" s="87"/>
      <c r="BJ68" s="87"/>
      <c r="BK68" s="87"/>
      <c r="BL68" s="87"/>
      <c r="BM68" s="87"/>
      <c r="BN68" s="87"/>
      <c r="BO68" s="87"/>
    </row>
    <row r="69" spans="1:67" ht="3" customHeight="1" thickBot="1" x14ac:dyDescent="0.3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row>
    <row r="70" spans="1:67" ht="12" customHeight="1" x14ac:dyDescent="0.3">
      <c r="A70" s="67" t="s">
        <v>74</v>
      </c>
      <c r="B70" s="68"/>
      <c r="C70" s="68"/>
      <c r="D70" s="68"/>
      <c r="E70" s="68"/>
      <c r="F70" s="68"/>
      <c r="G70" s="68"/>
      <c r="H70" s="69"/>
      <c r="I70" s="88" t="s">
        <v>104</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5" t="s">
        <v>1</v>
      </c>
      <c r="AU70" s="95"/>
      <c r="AV70" s="95"/>
      <c r="AW70" s="95"/>
      <c r="AX70" s="95"/>
      <c r="AY70" s="95"/>
      <c r="AZ70" s="95"/>
      <c r="BA70" s="95"/>
      <c r="BB70" s="95"/>
      <c r="BC70" s="95"/>
      <c r="BD70" s="118" t="s">
        <v>41</v>
      </c>
      <c r="BE70" s="118"/>
      <c r="BF70" s="118"/>
      <c r="BG70" s="118"/>
      <c r="BH70" s="118"/>
      <c r="BI70" s="118" t="s">
        <v>2</v>
      </c>
      <c r="BJ70" s="118"/>
      <c r="BK70" s="118"/>
      <c r="BL70" s="118"/>
      <c r="BM70" s="118"/>
      <c r="BN70" s="118"/>
      <c r="BO70" s="130"/>
    </row>
    <row r="71" spans="1:67" ht="12" customHeight="1" x14ac:dyDescent="0.3">
      <c r="A71" s="67"/>
      <c r="B71" s="68"/>
      <c r="C71" s="68"/>
      <c r="D71" s="68"/>
      <c r="E71" s="68"/>
      <c r="F71" s="68"/>
      <c r="G71" s="68"/>
      <c r="H71" s="69"/>
      <c r="I71" s="88"/>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6"/>
      <c r="AU71" s="96"/>
      <c r="AV71" s="96"/>
      <c r="AW71" s="96"/>
      <c r="AX71" s="96"/>
      <c r="AY71" s="96"/>
      <c r="AZ71" s="96"/>
      <c r="BA71" s="96"/>
      <c r="BB71" s="96"/>
      <c r="BC71" s="96"/>
      <c r="BD71" s="106"/>
      <c r="BE71" s="106"/>
      <c r="BF71" s="106"/>
      <c r="BG71" s="106"/>
      <c r="BH71" s="106"/>
      <c r="BI71" s="106"/>
      <c r="BJ71" s="106"/>
      <c r="BK71" s="106"/>
      <c r="BL71" s="106"/>
      <c r="BM71" s="106"/>
      <c r="BN71" s="106"/>
      <c r="BO71" s="108"/>
    </row>
    <row r="72" spans="1:67" ht="12" customHeight="1" x14ac:dyDescent="0.3">
      <c r="A72" s="67"/>
      <c r="B72" s="68"/>
      <c r="C72" s="68"/>
      <c r="D72" s="68"/>
      <c r="E72" s="68"/>
      <c r="F72" s="68"/>
      <c r="G72" s="68"/>
      <c r="H72" s="69"/>
      <c r="I72" s="88"/>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6" t="str">
        <f>IF(BK66="","",IF(BK66="1ST","1ST",IF(BK66="2ND","3RD")))</f>
        <v>3RD</v>
      </c>
      <c r="AU72" s="96"/>
      <c r="AV72" s="96"/>
      <c r="AW72" s="96"/>
      <c r="AX72" s="96"/>
      <c r="AY72" s="96" t="str">
        <f>IF(BK66="","",IF(BK66="1ST","2ND",IF(BK66="2ND","4TH")))</f>
        <v>4TH</v>
      </c>
      <c r="AZ72" s="96"/>
      <c r="BA72" s="96"/>
      <c r="BB72" s="96"/>
      <c r="BC72" s="96"/>
      <c r="BD72" s="106"/>
      <c r="BE72" s="106"/>
      <c r="BF72" s="106"/>
      <c r="BG72" s="106"/>
      <c r="BH72" s="106"/>
      <c r="BI72" s="106"/>
      <c r="BJ72" s="106"/>
      <c r="BK72" s="106"/>
      <c r="BL72" s="106"/>
      <c r="BM72" s="106"/>
      <c r="BN72" s="106"/>
      <c r="BO72" s="108"/>
    </row>
    <row r="73" spans="1:67" ht="12" customHeight="1" x14ac:dyDescent="0.3">
      <c r="A73" s="70"/>
      <c r="B73" s="71"/>
      <c r="C73" s="71"/>
      <c r="D73" s="71"/>
      <c r="E73" s="71"/>
      <c r="F73" s="71"/>
      <c r="G73" s="71"/>
      <c r="H73" s="72"/>
      <c r="I73" s="91"/>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3"/>
      <c r="AT73" s="96"/>
      <c r="AU73" s="96"/>
      <c r="AV73" s="96"/>
      <c r="AW73" s="96"/>
      <c r="AX73" s="96"/>
      <c r="AY73" s="96"/>
      <c r="AZ73" s="96"/>
      <c r="BA73" s="96"/>
      <c r="BB73" s="96"/>
      <c r="BC73" s="96"/>
      <c r="BD73" s="106"/>
      <c r="BE73" s="106"/>
      <c r="BF73" s="106"/>
      <c r="BG73" s="106"/>
      <c r="BH73" s="106"/>
      <c r="BI73" s="106"/>
      <c r="BJ73" s="106"/>
      <c r="BK73" s="106"/>
      <c r="BL73" s="106"/>
      <c r="BM73" s="106"/>
      <c r="BN73" s="106"/>
      <c r="BO73" s="108"/>
    </row>
    <row r="74" spans="1:67" ht="18.899999999999999" customHeight="1" x14ac:dyDescent="0.3">
      <c r="A74" s="97" t="s">
        <v>38</v>
      </c>
      <c r="B74" s="65"/>
      <c r="C74" s="65"/>
      <c r="D74" s="65"/>
      <c r="E74" s="65"/>
      <c r="F74" s="65"/>
      <c r="G74" s="65"/>
      <c r="H74" s="66"/>
      <c r="I74" s="74" t="s">
        <v>54</v>
      </c>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6"/>
      <c r="AT74" s="81"/>
      <c r="AU74" s="81"/>
      <c r="AV74" s="81"/>
      <c r="AW74" s="81"/>
      <c r="AX74" s="81"/>
      <c r="AY74" s="81"/>
      <c r="AZ74" s="81"/>
      <c r="BA74" s="81"/>
      <c r="BB74" s="81"/>
      <c r="BC74" s="81"/>
      <c r="BD74" s="61" t="str">
        <f t="shared" ref="BD74" si="4">IF(OR(AT74="",AY74=""),"",IF(ISERROR(ROUND(AVERAGE(AT74,AY74),0)),"",ROUND(AVERAGE(AT74,AY74),0)))</f>
        <v/>
      </c>
      <c r="BE74" s="61"/>
      <c r="BF74" s="61"/>
      <c r="BG74" s="61"/>
      <c r="BH74" s="61"/>
      <c r="BI74" s="61" t="str">
        <f t="shared" ref="BI74" si="5">IF(OR(AT74="",AY74="",BD74=""),"",IF(BD74&gt;=75,"PASSED","FAILED"))</f>
        <v/>
      </c>
      <c r="BJ74" s="61"/>
      <c r="BK74" s="61"/>
      <c r="BL74" s="61"/>
      <c r="BM74" s="61"/>
      <c r="BN74" s="61"/>
      <c r="BO74" s="62"/>
    </row>
    <row r="75" spans="1:67" ht="18.899999999999999" customHeight="1" x14ac:dyDescent="0.3">
      <c r="A75" s="97" t="s">
        <v>38</v>
      </c>
      <c r="B75" s="65"/>
      <c r="C75" s="65"/>
      <c r="D75" s="65"/>
      <c r="E75" s="65"/>
      <c r="F75" s="65"/>
      <c r="G75" s="65"/>
      <c r="H75" s="66"/>
      <c r="I75" s="74" t="s">
        <v>57</v>
      </c>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6"/>
      <c r="AT75" s="81"/>
      <c r="AU75" s="81"/>
      <c r="AV75" s="81"/>
      <c r="AW75" s="81"/>
      <c r="AX75" s="81"/>
      <c r="AY75" s="81"/>
      <c r="AZ75" s="81"/>
      <c r="BA75" s="81"/>
      <c r="BB75" s="81"/>
      <c r="BC75" s="81"/>
      <c r="BD75" s="58" t="str">
        <f t="shared" ref="BD75:BD85" si="6">IF(OR(AT75="",AY75=""),"",IF(ISERROR(ROUND(AVERAGE(AT75,AY75),0)),"",ROUND(AVERAGE(AT75,AY75),0)))</f>
        <v/>
      </c>
      <c r="BE75" s="59"/>
      <c r="BF75" s="59"/>
      <c r="BG75" s="59"/>
      <c r="BH75" s="60"/>
      <c r="BI75" s="61" t="str">
        <f t="shared" ref="BI75:BI85" si="7">IF(OR(AT75="",AY75="",BD75=""),"",IF(BD75&gt;=75,"PASSED","FAILED"))</f>
        <v/>
      </c>
      <c r="BJ75" s="61"/>
      <c r="BK75" s="61"/>
      <c r="BL75" s="61"/>
      <c r="BM75" s="61"/>
      <c r="BN75" s="61"/>
      <c r="BO75" s="62"/>
    </row>
    <row r="76" spans="1:67" ht="18.899999999999999" customHeight="1" x14ac:dyDescent="0.3">
      <c r="A76" s="97" t="s">
        <v>38</v>
      </c>
      <c r="B76" s="65"/>
      <c r="C76" s="65"/>
      <c r="D76" s="65"/>
      <c r="E76" s="65"/>
      <c r="F76" s="65"/>
      <c r="G76" s="65"/>
      <c r="H76" s="66"/>
      <c r="I76" s="74" t="s">
        <v>58</v>
      </c>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6"/>
      <c r="AT76" s="81"/>
      <c r="AU76" s="81"/>
      <c r="AV76" s="81"/>
      <c r="AW76" s="81"/>
      <c r="AX76" s="81"/>
      <c r="AY76" s="81"/>
      <c r="AZ76" s="81"/>
      <c r="BA76" s="81"/>
      <c r="BB76" s="81"/>
      <c r="BC76" s="81"/>
      <c r="BD76" s="58" t="str">
        <f t="shared" si="6"/>
        <v/>
      </c>
      <c r="BE76" s="59"/>
      <c r="BF76" s="59"/>
      <c r="BG76" s="59"/>
      <c r="BH76" s="60"/>
      <c r="BI76" s="61" t="str">
        <f t="shared" si="7"/>
        <v/>
      </c>
      <c r="BJ76" s="61"/>
      <c r="BK76" s="61"/>
      <c r="BL76" s="61"/>
      <c r="BM76" s="61"/>
      <c r="BN76" s="61"/>
      <c r="BO76" s="62"/>
    </row>
    <row r="77" spans="1:67" ht="18.899999999999999" customHeight="1" x14ac:dyDescent="0.3">
      <c r="A77" s="97" t="s">
        <v>38</v>
      </c>
      <c r="B77" s="65"/>
      <c r="C77" s="65"/>
      <c r="D77" s="65"/>
      <c r="E77" s="65"/>
      <c r="F77" s="65"/>
      <c r="G77" s="65"/>
      <c r="H77" s="66"/>
      <c r="I77" s="74" t="s">
        <v>59</v>
      </c>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6"/>
      <c r="AT77" s="81"/>
      <c r="AU77" s="81"/>
      <c r="AV77" s="81"/>
      <c r="AW77" s="81"/>
      <c r="AX77" s="81"/>
      <c r="AY77" s="81"/>
      <c r="AZ77" s="81"/>
      <c r="BA77" s="81"/>
      <c r="BB77" s="81"/>
      <c r="BC77" s="81"/>
      <c r="BD77" s="58" t="str">
        <f t="shared" si="6"/>
        <v/>
      </c>
      <c r="BE77" s="59"/>
      <c r="BF77" s="59"/>
      <c r="BG77" s="59"/>
      <c r="BH77" s="60"/>
      <c r="BI77" s="61" t="str">
        <f t="shared" si="7"/>
        <v/>
      </c>
      <c r="BJ77" s="61"/>
      <c r="BK77" s="61"/>
      <c r="BL77" s="61"/>
      <c r="BM77" s="61"/>
      <c r="BN77" s="61"/>
      <c r="BO77" s="62"/>
    </row>
    <row r="78" spans="1:67" ht="18.899999999999999" customHeight="1" x14ac:dyDescent="0.3">
      <c r="A78" s="97" t="s">
        <v>38</v>
      </c>
      <c r="B78" s="65"/>
      <c r="C78" s="65"/>
      <c r="D78" s="65"/>
      <c r="E78" s="65"/>
      <c r="F78" s="65"/>
      <c r="G78" s="65"/>
      <c r="H78" s="66"/>
      <c r="I78" s="74" t="s">
        <v>61</v>
      </c>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81"/>
      <c r="AU78" s="81"/>
      <c r="AV78" s="81"/>
      <c r="AW78" s="81"/>
      <c r="AX78" s="81"/>
      <c r="AY78" s="81"/>
      <c r="AZ78" s="81"/>
      <c r="BA78" s="81"/>
      <c r="BB78" s="81"/>
      <c r="BC78" s="81"/>
      <c r="BD78" s="58" t="str">
        <f t="shared" si="6"/>
        <v/>
      </c>
      <c r="BE78" s="59"/>
      <c r="BF78" s="59"/>
      <c r="BG78" s="59"/>
      <c r="BH78" s="60"/>
      <c r="BI78" s="61" t="str">
        <f t="shared" si="7"/>
        <v/>
      </c>
      <c r="BJ78" s="61"/>
      <c r="BK78" s="61"/>
      <c r="BL78" s="61"/>
      <c r="BM78" s="61"/>
      <c r="BN78" s="61"/>
      <c r="BO78" s="62"/>
    </row>
    <row r="79" spans="1:67" ht="20.100000000000001" customHeight="1" x14ac:dyDescent="0.3">
      <c r="A79" s="97" t="s">
        <v>38</v>
      </c>
      <c r="B79" s="65"/>
      <c r="C79" s="65"/>
      <c r="D79" s="65"/>
      <c r="E79" s="65"/>
      <c r="F79" s="65"/>
      <c r="G79" s="65"/>
      <c r="H79" s="66"/>
      <c r="I79" s="74" t="s">
        <v>12</v>
      </c>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24"/>
      <c r="AU79" s="124"/>
      <c r="AV79" s="124"/>
      <c r="AW79" s="124"/>
      <c r="AX79" s="124"/>
      <c r="AY79" s="124"/>
      <c r="AZ79" s="124"/>
      <c r="BA79" s="124"/>
      <c r="BB79" s="124"/>
      <c r="BC79" s="124"/>
      <c r="BD79" s="58" t="str">
        <f t="shared" si="6"/>
        <v/>
      </c>
      <c r="BE79" s="59"/>
      <c r="BF79" s="59"/>
      <c r="BG79" s="59"/>
      <c r="BH79" s="60"/>
      <c r="BI79" s="61" t="str">
        <f t="shared" si="7"/>
        <v/>
      </c>
      <c r="BJ79" s="61"/>
      <c r="BK79" s="61"/>
      <c r="BL79" s="61"/>
      <c r="BM79" s="61"/>
      <c r="BN79" s="61"/>
      <c r="BO79" s="62"/>
    </row>
    <row r="80" spans="1:67" ht="20.100000000000001" customHeight="1" x14ac:dyDescent="0.3">
      <c r="A80" s="97" t="s">
        <v>38</v>
      </c>
      <c r="B80" s="65"/>
      <c r="C80" s="65"/>
      <c r="D80" s="65"/>
      <c r="E80" s="65"/>
      <c r="F80" s="65"/>
      <c r="G80" s="65"/>
      <c r="H80" s="66"/>
      <c r="I80" s="74" t="s">
        <v>64</v>
      </c>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6"/>
      <c r="AT80" s="64"/>
      <c r="AU80" s="65"/>
      <c r="AV80" s="65"/>
      <c r="AW80" s="65"/>
      <c r="AX80" s="66"/>
      <c r="AY80" s="64"/>
      <c r="AZ80" s="65"/>
      <c r="BA80" s="65"/>
      <c r="BB80" s="65"/>
      <c r="BC80" s="66"/>
      <c r="BD80" s="58" t="str">
        <f t="shared" si="6"/>
        <v/>
      </c>
      <c r="BE80" s="59"/>
      <c r="BF80" s="59"/>
      <c r="BG80" s="59"/>
      <c r="BH80" s="60"/>
      <c r="BI80" s="61" t="str">
        <f t="shared" si="7"/>
        <v/>
      </c>
      <c r="BJ80" s="61"/>
      <c r="BK80" s="61"/>
      <c r="BL80" s="61"/>
      <c r="BM80" s="61"/>
      <c r="BN80" s="61"/>
      <c r="BO80" s="62"/>
    </row>
    <row r="81" spans="1:67" ht="20.100000000000001" customHeight="1" x14ac:dyDescent="0.3">
      <c r="A81" s="97" t="s">
        <v>38</v>
      </c>
      <c r="B81" s="65"/>
      <c r="C81" s="65"/>
      <c r="D81" s="65"/>
      <c r="E81" s="65"/>
      <c r="F81" s="65"/>
      <c r="G81" s="65"/>
      <c r="H81" s="66"/>
      <c r="I81" s="74" t="s">
        <v>73</v>
      </c>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64"/>
      <c r="AU81" s="65"/>
      <c r="AV81" s="65"/>
      <c r="AW81" s="65"/>
      <c r="AX81" s="66"/>
      <c r="AY81" s="64"/>
      <c r="AZ81" s="65"/>
      <c r="BA81" s="65"/>
      <c r="BB81" s="65"/>
      <c r="BC81" s="66"/>
      <c r="BD81" s="58" t="str">
        <f t="shared" si="6"/>
        <v/>
      </c>
      <c r="BE81" s="59"/>
      <c r="BF81" s="59"/>
      <c r="BG81" s="59"/>
      <c r="BH81" s="60"/>
      <c r="BI81" s="61" t="str">
        <f t="shared" si="7"/>
        <v/>
      </c>
      <c r="BJ81" s="61"/>
      <c r="BK81" s="61"/>
      <c r="BL81" s="61"/>
      <c r="BM81" s="61"/>
      <c r="BN81" s="61"/>
      <c r="BO81" s="62"/>
    </row>
    <row r="82" spans="1:67" ht="20.100000000000001" customHeight="1" x14ac:dyDescent="0.3">
      <c r="A82" s="97" t="s">
        <v>40</v>
      </c>
      <c r="B82" s="65"/>
      <c r="C82" s="65"/>
      <c r="D82" s="65"/>
      <c r="E82" s="65"/>
      <c r="F82" s="65"/>
      <c r="G82" s="65"/>
      <c r="H82" s="66"/>
      <c r="I82" s="74" t="s">
        <v>120</v>
      </c>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64"/>
      <c r="AU82" s="65"/>
      <c r="AV82" s="65"/>
      <c r="AW82" s="65"/>
      <c r="AX82" s="66"/>
      <c r="AY82" s="64"/>
      <c r="AZ82" s="65"/>
      <c r="BA82" s="65"/>
      <c r="BB82" s="65"/>
      <c r="BC82" s="66"/>
      <c r="BD82" s="58" t="str">
        <f t="shared" si="6"/>
        <v/>
      </c>
      <c r="BE82" s="59"/>
      <c r="BF82" s="59"/>
      <c r="BG82" s="59"/>
      <c r="BH82" s="60"/>
      <c r="BI82" s="61" t="str">
        <f t="shared" si="7"/>
        <v/>
      </c>
      <c r="BJ82" s="61"/>
      <c r="BK82" s="61"/>
      <c r="BL82" s="61"/>
      <c r="BM82" s="61"/>
      <c r="BN82" s="61"/>
      <c r="BO82" s="62"/>
    </row>
    <row r="83" spans="1:67" ht="20.100000000000001" customHeight="1" x14ac:dyDescent="0.3">
      <c r="A83" s="97" t="s">
        <v>117</v>
      </c>
      <c r="B83" s="65"/>
      <c r="C83" s="65"/>
      <c r="D83" s="65"/>
      <c r="E83" s="65"/>
      <c r="F83" s="65"/>
      <c r="G83" s="65"/>
      <c r="H83" s="66"/>
      <c r="I83" s="74" t="s">
        <v>119</v>
      </c>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64"/>
      <c r="AU83" s="65"/>
      <c r="AV83" s="65"/>
      <c r="AW83" s="65"/>
      <c r="AX83" s="66"/>
      <c r="AY83" s="64"/>
      <c r="AZ83" s="65"/>
      <c r="BA83" s="65"/>
      <c r="BB83" s="65"/>
      <c r="BC83" s="66"/>
      <c r="BD83" s="58" t="str">
        <f t="shared" si="6"/>
        <v/>
      </c>
      <c r="BE83" s="59"/>
      <c r="BF83" s="59"/>
      <c r="BG83" s="59"/>
      <c r="BH83" s="60"/>
      <c r="BI83" s="61" t="str">
        <f t="shared" si="7"/>
        <v/>
      </c>
      <c r="BJ83" s="61"/>
      <c r="BK83" s="61"/>
      <c r="BL83" s="61"/>
      <c r="BM83" s="61"/>
      <c r="BN83" s="61"/>
      <c r="BO83" s="62"/>
    </row>
    <row r="84" spans="1:67" ht="20.100000000000001" customHeight="1" x14ac:dyDescent="0.3">
      <c r="A84" s="97"/>
      <c r="B84" s="65"/>
      <c r="C84" s="65"/>
      <c r="D84" s="65"/>
      <c r="E84" s="65"/>
      <c r="F84" s="65"/>
      <c r="G84" s="65"/>
      <c r="H84" s="66"/>
      <c r="I84" s="74"/>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63"/>
      <c r="AU84" s="63"/>
      <c r="AV84" s="63"/>
      <c r="AW84" s="63"/>
      <c r="AX84" s="63"/>
      <c r="AY84" s="63"/>
      <c r="AZ84" s="63"/>
      <c r="BA84" s="63"/>
      <c r="BB84" s="63"/>
      <c r="BC84" s="63"/>
      <c r="BD84" s="58" t="str">
        <f t="shared" si="6"/>
        <v/>
      </c>
      <c r="BE84" s="59"/>
      <c r="BF84" s="59"/>
      <c r="BG84" s="59"/>
      <c r="BH84" s="60"/>
      <c r="BI84" s="61" t="str">
        <f t="shared" si="7"/>
        <v/>
      </c>
      <c r="BJ84" s="61"/>
      <c r="BK84" s="61"/>
      <c r="BL84" s="61"/>
      <c r="BM84" s="61"/>
      <c r="BN84" s="61"/>
      <c r="BO84" s="62"/>
    </row>
    <row r="85" spans="1:67" ht="20.100000000000001" customHeight="1" x14ac:dyDescent="0.3">
      <c r="A85" s="97"/>
      <c r="B85" s="65"/>
      <c r="C85" s="65"/>
      <c r="D85" s="65"/>
      <c r="E85" s="65"/>
      <c r="F85" s="65"/>
      <c r="G85" s="65"/>
      <c r="H85" s="66"/>
      <c r="I85" s="74"/>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6"/>
      <c r="AT85" s="81"/>
      <c r="AU85" s="81"/>
      <c r="AV85" s="81"/>
      <c r="AW85" s="81"/>
      <c r="AX85" s="81"/>
      <c r="AY85" s="81"/>
      <c r="AZ85" s="81"/>
      <c r="BA85" s="81"/>
      <c r="BB85" s="81"/>
      <c r="BC85" s="81"/>
      <c r="BD85" s="58" t="str">
        <f t="shared" si="6"/>
        <v/>
      </c>
      <c r="BE85" s="59"/>
      <c r="BF85" s="59"/>
      <c r="BG85" s="59"/>
      <c r="BH85" s="60"/>
      <c r="BI85" s="61" t="str">
        <f t="shared" si="7"/>
        <v/>
      </c>
      <c r="BJ85" s="61"/>
      <c r="BK85" s="61"/>
      <c r="BL85" s="61"/>
      <c r="BM85" s="61"/>
      <c r="BN85" s="61"/>
      <c r="BO85" s="62"/>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t="str">
        <f>IFERROR(ROUND((SUM(BD74:BD85,BD101:BD104)-SUM(AT101:AT104))/(COUNTA(BD74:BD85)-COUNTBLANK(BD74:BD85)),0),"")</f>
        <v/>
      </c>
      <c r="BE86" s="99"/>
      <c r="BF86" s="99"/>
      <c r="BG86" s="99"/>
      <c r="BH86" s="100"/>
      <c r="BI86" s="98" t="str">
        <f>IF(BD86="","",IF(BD86&gt;=75,"PASSED","FAILED"))</f>
        <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121</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49"/>
      <c r="AF89" s="149"/>
      <c r="AG89" s="149"/>
      <c r="AH89" s="149"/>
      <c r="AI89" s="149"/>
      <c r="AJ89" s="149"/>
      <c r="AK89" s="149"/>
      <c r="AL89" s="149"/>
      <c r="AM89" s="149"/>
      <c r="AN89" s="149"/>
      <c r="AO89" s="149"/>
      <c r="AP89" s="149"/>
      <c r="AQ89" s="149"/>
      <c r="AR89" s="149"/>
      <c r="AS89" s="149"/>
      <c r="AT89" s="149"/>
      <c r="AU89" s="149"/>
      <c r="AV89" s="149"/>
      <c r="AW89" s="149"/>
      <c r="AX89" s="149"/>
      <c r="AY89" s="149"/>
      <c r="AZ89" s="149"/>
      <c r="BA89" s="149"/>
      <c r="BB89" s="149"/>
      <c r="BC89" s="149"/>
      <c r="BD89" s="149"/>
      <c r="BE89" s="149"/>
      <c r="BF89" s="149"/>
      <c r="BG89" s="149"/>
      <c r="BH89" s="149"/>
      <c r="BI89" s="149"/>
      <c r="BJ89" s="149"/>
      <c r="BK89" s="149"/>
      <c r="BL89" s="149"/>
      <c r="BM89" s="149"/>
      <c r="BN89" s="149"/>
      <c r="BO89" s="149"/>
    </row>
    <row r="90" spans="1:67" ht="15.9" customHeight="1" x14ac:dyDescent="0.3">
      <c r="A90" s="148" t="s">
        <v>80</v>
      </c>
      <c r="B90" s="148"/>
      <c r="C90" s="148"/>
      <c r="D90" s="148"/>
      <c r="E90" s="148"/>
      <c r="F90" s="8"/>
      <c r="G90" s="8"/>
      <c r="H90" s="8"/>
      <c r="I90" s="8"/>
      <c r="J90" s="8"/>
      <c r="K90" s="8"/>
      <c r="L90" s="8"/>
      <c r="M90" s="8"/>
      <c r="N90" s="8"/>
      <c r="O90" s="8"/>
      <c r="P90" s="8"/>
      <c r="Q90" s="8"/>
      <c r="R90" s="8"/>
      <c r="S90" s="8"/>
      <c r="T90" s="8"/>
      <c r="U90" s="8"/>
      <c r="V90" s="148" t="s">
        <v>82</v>
      </c>
      <c r="W90" s="148"/>
      <c r="X90" s="148"/>
      <c r="Y90" s="148"/>
      <c r="Z90" s="148"/>
      <c r="AA90" s="148"/>
      <c r="AB90" s="148"/>
      <c r="AC90" s="148"/>
      <c r="AD90" s="148"/>
      <c r="AE90" s="148"/>
      <c r="AF90" s="11"/>
      <c r="AG90" s="57"/>
      <c r="AH90" s="57"/>
      <c r="AI90" s="57"/>
      <c r="AJ90" s="57"/>
      <c r="AK90" s="57"/>
      <c r="AL90" s="57"/>
      <c r="AM90" s="57"/>
      <c r="AN90" s="57"/>
      <c r="AO90" s="57"/>
      <c r="AP90" s="57"/>
      <c r="AQ90" s="57"/>
      <c r="AR90" s="57"/>
      <c r="AS90" s="57"/>
      <c r="AT90" s="5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56"/>
      <c r="B91" s="56"/>
      <c r="C91" s="56"/>
      <c r="D91" s="56"/>
      <c r="E91" s="56"/>
      <c r="F91" s="56"/>
      <c r="G91" s="56"/>
      <c r="H91" s="56"/>
      <c r="I91" s="56"/>
      <c r="J91" s="56"/>
      <c r="K91" s="56"/>
      <c r="L91" s="56"/>
      <c r="M91" s="56"/>
      <c r="N91" s="56"/>
      <c r="O91" s="56"/>
      <c r="P91" s="56"/>
      <c r="Q91" s="56"/>
      <c r="R91" s="9"/>
      <c r="S91" s="9"/>
      <c r="T91" s="9"/>
      <c r="U91" s="9"/>
      <c r="V91" s="9"/>
      <c r="W91" s="9"/>
      <c r="X91" s="9"/>
      <c r="Y91" s="57"/>
      <c r="Z91" s="57"/>
      <c r="AA91" s="57"/>
      <c r="AB91" s="57"/>
      <c r="AC91" s="57"/>
      <c r="AD91" s="57"/>
      <c r="AE91" s="57"/>
      <c r="AF91" s="57"/>
      <c r="AG91" s="57"/>
      <c r="AH91" s="57"/>
      <c r="AI91" s="57"/>
      <c r="AJ91" s="57"/>
      <c r="AK91" s="57"/>
      <c r="AL91" s="57"/>
      <c r="AM91" s="57"/>
      <c r="AN91" s="57"/>
      <c r="AO91" s="57"/>
      <c r="AP91" s="9"/>
      <c r="AQ91" s="9"/>
      <c r="AR91" s="9"/>
      <c r="AS91" s="9"/>
      <c r="AT91" s="10"/>
      <c r="AU91" s="56"/>
      <c r="AV91" s="56"/>
      <c r="AW91" s="56"/>
      <c r="AX91" s="56"/>
      <c r="AY91" s="56"/>
      <c r="AZ91" s="56"/>
      <c r="BA91" s="56"/>
      <c r="BB91" s="56"/>
      <c r="BC91" s="56"/>
      <c r="BD91" s="56"/>
      <c r="BE91" s="8"/>
      <c r="BF91" s="8"/>
      <c r="BG91" s="8"/>
      <c r="BH91" s="8"/>
      <c r="BI91" s="8"/>
      <c r="BJ91" s="8"/>
      <c r="BK91" s="8"/>
      <c r="BL91" s="8"/>
      <c r="BM91" s="8"/>
      <c r="BN91" s="8"/>
      <c r="BO91" s="8"/>
    </row>
    <row r="92" spans="1:67" ht="15.9" customHeight="1" x14ac:dyDescent="0.3">
      <c r="A92" s="115" t="s">
        <v>126</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122</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44390</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93</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3" t="s">
        <v>108</v>
      </c>
      <c r="J95" s="83"/>
      <c r="K95" s="83"/>
      <c r="L95" s="83"/>
      <c r="M95" s="83"/>
      <c r="N95" s="83"/>
      <c r="O95" s="83"/>
      <c r="P95" s="83"/>
      <c r="Q95" s="83"/>
      <c r="R95" s="83"/>
      <c r="S95" s="82"/>
      <c r="T95" s="82"/>
      <c r="U95" s="82"/>
      <c r="V95" s="82"/>
      <c r="W95" s="83" t="s">
        <v>107</v>
      </c>
      <c r="X95" s="83"/>
      <c r="Y95" s="83"/>
      <c r="Z95" s="83"/>
      <c r="AA95" s="83"/>
      <c r="AB95" s="83"/>
      <c r="AC95" s="82"/>
      <c r="AD95" s="82"/>
      <c r="AE95" s="82"/>
      <c r="AF95" s="82"/>
      <c r="AH95" s="83" t="s">
        <v>34</v>
      </c>
      <c r="AI95" s="83"/>
      <c r="AJ95" s="83"/>
      <c r="AK95" s="83"/>
      <c r="AL95" s="84"/>
      <c r="AM95" s="84"/>
      <c r="AN95" s="84"/>
      <c r="AO95" s="84"/>
      <c r="AP95" s="84"/>
      <c r="AQ95" s="84"/>
      <c r="AR95" s="84"/>
      <c r="AS95" s="84"/>
      <c r="AT95" s="84"/>
      <c r="AU95" s="84"/>
      <c r="AV95" s="84"/>
      <c r="AW95" s="84"/>
      <c r="AX95" s="84"/>
      <c r="AY95" s="84"/>
      <c r="AZ95" s="84"/>
      <c r="BA95" s="84"/>
      <c r="BB95" s="84"/>
      <c r="BC95" s="84"/>
      <c r="BD95" s="84"/>
      <c r="BE95" s="84"/>
      <c r="BF95" s="85" t="s">
        <v>46</v>
      </c>
      <c r="BG95" s="85"/>
      <c r="BH95" s="85"/>
      <c r="BI95" s="85"/>
      <c r="BJ95" s="85"/>
      <c r="BK95" s="86"/>
      <c r="BL95" s="86"/>
      <c r="BM95" s="86"/>
      <c r="BN95" s="86"/>
      <c r="BO95" s="86"/>
    </row>
    <row r="96" spans="1:67" ht="3" customHeight="1" thickBot="1" x14ac:dyDescent="0.3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row>
    <row r="97" spans="1:67" ht="12" customHeight="1" x14ac:dyDescent="0.3">
      <c r="A97" s="109" t="s">
        <v>74</v>
      </c>
      <c r="B97" s="110"/>
      <c r="C97" s="110"/>
      <c r="D97" s="110"/>
      <c r="E97" s="110"/>
      <c r="F97" s="110"/>
      <c r="G97" s="110"/>
      <c r="H97" s="111"/>
      <c r="I97" s="154" t="s">
        <v>104</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7"/>
      <c r="B98" s="68"/>
      <c r="C98" s="68"/>
      <c r="D98" s="68"/>
      <c r="E98" s="68"/>
      <c r="F98" s="68"/>
      <c r="G98" s="68"/>
      <c r="H98" s="69"/>
      <c r="I98" s="88"/>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113"/>
      <c r="AU98" s="68"/>
      <c r="AV98" s="68"/>
      <c r="AW98" s="68"/>
      <c r="AX98" s="69"/>
      <c r="AY98" s="68"/>
      <c r="AZ98" s="68"/>
      <c r="BA98" s="68"/>
      <c r="BB98" s="68"/>
      <c r="BC98" s="69"/>
      <c r="BD98" s="106"/>
      <c r="BE98" s="106"/>
      <c r="BF98" s="106"/>
      <c r="BG98" s="106"/>
      <c r="BH98" s="106"/>
      <c r="BI98" s="106"/>
      <c r="BJ98" s="106"/>
      <c r="BK98" s="106"/>
      <c r="BL98" s="106"/>
      <c r="BM98" s="106"/>
      <c r="BN98" s="106"/>
      <c r="BO98" s="108"/>
    </row>
    <row r="99" spans="1:67" ht="12" customHeight="1" x14ac:dyDescent="0.3">
      <c r="A99" s="67"/>
      <c r="B99" s="68"/>
      <c r="C99" s="68"/>
      <c r="D99" s="68"/>
      <c r="E99" s="68"/>
      <c r="F99" s="68"/>
      <c r="G99" s="68"/>
      <c r="H99" s="69"/>
      <c r="I99" s="88"/>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113"/>
      <c r="AU99" s="68"/>
      <c r="AV99" s="68"/>
      <c r="AW99" s="68"/>
      <c r="AX99" s="69"/>
      <c r="AY99" s="68"/>
      <c r="AZ99" s="68"/>
      <c r="BA99" s="68"/>
      <c r="BB99" s="68"/>
      <c r="BC99" s="69"/>
      <c r="BD99" s="106"/>
      <c r="BE99" s="106"/>
      <c r="BF99" s="106"/>
      <c r="BG99" s="106"/>
      <c r="BH99" s="106"/>
      <c r="BI99" s="106"/>
      <c r="BJ99" s="106"/>
      <c r="BK99" s="106"/>
      <c r="BL99" s="106"/>
      <c r="BM99" s="106"/>
      <c r="BN99" s="106"/>
      <c r="BO99" s="108"/>
    </row>
    <row r="100" spans="1:67" ht="12" customHeight="1" x14ac:dyDescent="0.3">
      <c r="A100" s="70"/>
      <c r="B100" s="71"/>
      <c r="C100" s="71"/>
      <c r="D100" s="71"/>
      <c r="E100" s="71"/>
      <c r="F100" s="71"/>
      <c r="G100" s="71"/>
      <c r="H100" s="72"/>
      <c r="I100" s="91"/>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3"/>
      <c r="AT100" s="114"/>
      <c r="AU100" s="71"/>
      <c r="AV100" s="71"/>
      <c r="AW100" s="71"/>
      <c r="AX100" s="72"/>
      <c r="AY100" s="71"/>
      <c r="AZ100" s="71"/>
      <c r="BA100" s="71"/>
      <c r="BB100" s="71"/>
      <c r="BC100" s="72"/>
      <c r="BD100" s="106"/>
      <c r="BE100" s="106"/>
      <c r="BF100" s="106"/>
      <c r="BG100" s="106"/>
      <c r="BH100" s="106"/>
      <c r="BI100" s="106"/>
      <c r="BJ100" s="106"/>
      <c r="BK100" s="106"/>
      <c r="BL100" s="106"/>
      <c r="BM100" s="106"/>
      <c r="BN100" s="106"/>
      <c r="BO100" s="108"/>
    </row>
    <row r="101" spans="1:67" ht="18.899999999999999" customHeight="1" x14ac:dyDescent="0.3">
      <c r="A101" s="97"/>
      <c r="B101" s="65"/>
      <c r="C101" s="65"/>
      <c r="D101" s="65"/>
      <c r="E101" s="65"/>
      <c r="F101" s="65"/>
      <c r="G101" s="65"/>
      <c r="H101" s="66"/>
      <c r="I101" s="74"/>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6"/>
      <c r="AT101" s="81"/>
      <c r="AU101" s="81"/>
      <c r="AV101" s="81"/>
      <c r="AW101" s="81"/>
      <c r="AX101" s="81"/>
      <c r="AY101" s="81"/>
      <c r="AZ101" s="81"/>
      <c r="BA101" s="81"/>
      <c r="BB101" s="81"/>
      <c r="BC101" s="81"/>
      <c r="BD101" s="61" t="str">
        <f t="shared" ref="BD101:BD104" si="8">IF(OR(AT101="",AY101=""),"",IF(ISERROR(ROUND(AVERAGE(AT101,AY101),0)),"",ROUND(AVERAGE(AT101,AY101),0)))</f>
        <v/>
      </c>
      <c r="BE101" s="61"/>
      <c r="BF101" s="61"/>
      <c r="BG101" s="61"/>
      <c r="BH101" s="61"/>
      <c r="BI101" s="61" t="str">
        <f t="shared" ref="BI101:BI104" si="9">IF(OR(AT101="",AY101="",BD101=""),"",IF(BD101&gt;=75,"PASSED","FAILED"))</f>
        <v/>
      </c>
      <c r="BJ101" s="61"/>
      <c r="BK101" s="61"/>
      <c r="BL101" s="61"/>
      <c r="BM101" s="61"/>
      <c r="BN101" s="61"/>
      <c r="BO101" s="62"/>
    </row>
    <row r="102" spans="1:67" ht="18.899999999999999" customHeight="1" x14ac:dyDescent="0.3">
      <c r="A102" s="97"/>
      <c r="B102" s="65"/>
      <c r="C102" s="65"/>
      <c r="D102" s="65"/>
      <c r="E102" s="65"/>
      <c r="F102" s="65"/>
      <c r="G102" s="65"/>
      <c r="H102" s="66"/>
      <c r="I102" s="74"/>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6"/>
      <c r="AT102" s="81"/>
      <c r="AU102" s="81"/>
      <c r="AV102" s="81"/>
      <c r="AW102" s="81"/>
      <c r="AX102" s="81"/>
      <c r="AY102" s="81"/>
      <c r="AZ102" s="81"/>
      <c r="BA102" s="81"/>
      <c r="BB102" s="81"/>
      <c r="BC102" s="81"/>
      <c r="BD102" s="61" t="str">
        <f t="shared" si="8"/>
        <v/>
      </c>
      <c r="BE102" s="61"/>
      <c r="BF102" s="61"/>
      <c r="BG102" s="61"/>
      <c r="BH102" s="61"/>
      <c r="BI102" s="61" t="str">
        <f t="shared" si="9"/>
        <v/>
      </c>
      <c r="BJ102" s="61"/>
      <c r="BK102" s="61"/>
      <c r="BL102" s="61"/>
      <c r="BM102" s="61"/>
      <c r="BN102" s="61"/>
      <c r="BO102" s="62"/>
    </row>
    <row r="103" spans="1:67" ht="18.899999999999999" customHeight="1" x14ac:dyDescent="0.3">
      <c r="A103" s="97"/>
      <c r="B103" s="65"/>
      <c r="C103" s="65"/>
      <c r="D103" s="65"/>
      <c r="E103" s="65"/>
      <c r="F103" s="65"/>
      <c r="G103" s="65"/>
      <c r="H103" s="66"/>
      <c r="I103" s="74"/>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6"/>
      <c r="AT103" s="81"/>
      <c r="AU103" s="81"/>
      <c r="AV103" s="81"/>
      <c r="AW103" s="81"/>
      <c r="AX103" s="81"/>
      <c r="AY103" s="81"/>
      <c r="AZ103" s="81"/>
      <c r="BA103" s="81"/>
      <c r="BB103" s="81"/>
      <c r="BC103" s="81"/>
      <c r="BD103" s="61" t="str">
        <f t="shared" si="8"/>
        <v/>
      </c>
      <c r="BE103" s="61"/>
      <c r="BF103" s="61"/>
      <c r="BG103" s="61"/>
      <c r="BH103" s="61"/>
      <c r="BI103" s="61" t="str">
        <f t="shared" si="9"/>
        <v/>
      </c>
      <c r="BJ103" s="61"/>
      <c r="BK103" s="61"/>
      <c r="BL103" s="61"/>
      <c r="BM103" s="61"/>
      <c r="BN103" s="61"/>
      <c r="BO103" s="62"/>
    </row>
    <row r="104" spans="1:67" ht="18.899999999999999" customHeight="1" thickBot="1" x14ac:dyDescent="0.35">
      <c r="A104" s="133"/>
      <c r="B104" s="134"/>
      <c r="C104" s="134"/>
      <c r="D104" s="134"/>
      <c r="E104" s="134"/>
      <c r="F104" s="134"/>
      <c r="G104" s="134"/>
      <c r="H104" s="135"/>
      <c r="I104" s="140"/>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c r="AR104" s="141"/>
      <c r="AS104" s="142"/>
      <c r="AT104" s="77"/>
      <c r="AU104" s="77"/>
      <c r="AV104" s="77"/>
      <c r="AW104" s="77"/>
      <c r="AX104" s="77"/>
      <c r="AY104" s="77"/>
      <c r="AZ104" s="77"/>
      <c r="BA104" s="77"/>
      <c r="BB104" s="77"/>
      <c r="BC104" s="77"/>
      <c r="BD104" s="78" t="str">
        <f t="shared" si="8"/>
        <v/>
      </c>
      <c r="BE104" s="78"/>
      <c r="BF104" s="78"/>
      <c r="BG104" s="78"/>
      <c r="BH104" s="78"/>
      <c r="BI104" s="78" t="str">
        <f t="shared" si="9"/>
        <v/>
      </c>
      <c r="BJ104" s="78"/>
      <c r="BK104" s="78"/>
      <c r="BL104" s="78"/>
      <c r="BM104" s="78"/>
      <c r="BN104" s="78"/>
      <c r="BO104" s="79"/>
    </row>
    <row r="105" spans="1:67" ht="3" customHeight="1" x14ac:dyDescent="0.3">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row>
    <row r="106" spans="1:67" ht="22.5" customHeight="1" x14ac:dyDescent="0.3">
      <c r="A106" s="136" t="s">
        <v>44</v>
      </c>
      <c r="B106" s="136"/>
      <c r="C106" s="136"/>
      <c r="D106" s="136"/>
      <c r="E106" s="136"/>
      <c r="F106" s="136"/>
      <c r="G106" s="136"/>
      <c r="H106" s="136"/>
      <c r="I106" s="136"/>
      <c r="J106" s="137"/>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03" t="s">
        <v>8</v>
      </c>
      <c r="AU106" s="103"/>
      <c r="AV106" s="103"/>
      <c r="AW106" s="103"/>
      <c r="AX106" s="103"/>
      <c r="AY106" s="139"/>
      <c r="AZ106" s="139"/>
      <c r="BA106" s="139"/>
      <c r="BB106" s="139"/>
      <c r="BC106" s="139"/>
      <c r="BD106" s="139"/>
      <c r="BE106" s="139"/>
      <c r="BF106" s="139"/>
      <c r="BG106" s="139"/>
      <c r="BH106" s="139"/>
      <c r="BI106" s="139"/>
      <c r="BJ106" s="139"/>
      <c r="BK106" s="139"/>
      <c r="BL106" s="139"/>
      <c r="BM106" s="139"/>
      <c r="BN106" s="139"/>
      <c r="BO106" s="139"/>
    </row>
    <row r="992" spans="12978:12978" hidden="1" x14ac:dyDescent="0.3">
      <c r="SED992" s="13" t="s">
        <v>89</v>
      </c>
    </row>
    <row r="1017" spans="12977:12986" x14ac:dyDescent="0.3">
      <c r="SEC1017" s="10"/>
      <c r="SED1017" s="132"/>
      <c r="SEE1017" s="132"/>
      <c r="SEF1017" s="132"/>
      <c r="SEG1017" s="132"/>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1"/>
      <c r="SED1019" s="14"/>
      <c r="SEE1019" s="14"/>
      <c r="SEF1019" s="14"/>
      <c r="SEG1019" s="14"/>
      <c r="SEH1019" s="10"/>
      <c r="SEI1019" s="10"/>
      <c r="SEJ1019" s="10"/>
      <c r="SEK1019" s="10"/>
      <c r="SEL1019" s="10"/>
    </row>
    <row r="1020" spans="12977:12986" x14ac:dyDescent="0.3">
      <c r="SEC1020" s="131"/>
      <c r="SED1020" s="14"/>
      <c r="SEE1020" s="14"/>
      <c r="SEF1020" s="14"/>
      <c r="SEG1020" s="14"/>
      <c r="SEH1020" s="10"/>
      <c r="SEI1020" s="10"/>
      <c r="SEJ1020" s="10"/>
      <c r="SEK1020" s="10"/>
      <c r="SEL1020" s="10"/>
    </row>
    <row r="1021" spans="12977:12986" x14ac:dyDescent="0.3">
      <c r="SEC1021" s="131"/>
      <c r="SED1021" s="14"/>
      <c r="SEE1021" s="14"/>
      <c r="SEF1021" s="14"/>
      <c r="SEG1021" s="14"/>
      <c r="SEH1021" s="10"/>
      <c r="SEI1021" s="10"/>
      <c r="SEJ1021" s="10"/>
      <c r="SEK1021" s="10"/>
      <c r="SEL1021" s="10"/>
    </row>
    <row r="1022" spans="12977:12986" x14ac:dyDescent="0.3">
      <c r="SEC1022" s="131"/>
      <c r="SED1022" s="14"/>
      <c r="SEE1022" s="14"/>
      <c r="SEF1022" s="14"/>
      <c r="SEG1022" s="14"/>
      <c r="SEH1022" s="10"/>
      <c r="SEI1022" s="10"/>
      <c r="SEJ1022" s="10"/>
      <c r="SEK1022" s="10"/>
      <c r="SEL1022" s="10"/>
    </row>
    <row r="1023" spans="12977:12986" x14ac:dyDescent="0.3">
      <c r="SEC1023" s="131"/>
      <c r="SED1023" s="14"/>
      <c r="SEE1023" s="14"/>
      <c r="SEF1023" s="14"/>
      <c r="SEG1023" s="14"/>
      <c r="SEH1023" s="10"/>
      <c r="SEI1023" s="10"/>
      <c r="SEJ1023" s="10"/>
      <c r="SEK1023" s="10"/>
      <c r="SEL1023" s="10"/>
    </row>
    <row r="1024" spans="12977:12986" x14ac:dyDescent="0.3">
      <c r="SEC1024" s="131"/>
      <c r="SED1024" s="14"/>
      <c r="SEE1024" s="14"/>
      <c r="SEF1024" s="14"/>
      <c r="SEG1024" s="14"/>
      <c r="SEH1024" s="10"/>
      <c r="SEI1024" s="10"/>
      <c r="SEJ1024" s="10"/>
      <c r="SEK1024" s="10"/>
      <c r="SEL1024" s="10"/>
    </row>
    <row r="1025" spans="12977:12986" x14ac:dyDescent="0.3">
      <c r="SEC1025" s="131"/>
      <c r="SED1025" s="14"/>
      <c r="SEE1025" s="14"/>
      <c r="SEF1025" s="14"/>
      <c r="SEG1025" s="14"/>
      <c r="SEH1025" s="10"/>
      <c r="SEI1025" s="10"/>
      <c r="SEJ1025" s="10"/>
      <c r="SEK1025" s="10"/>
      <c r="SEL1025" s="10"/>
    </row>
    <row r="1026" spans="12977:12986" x14ac:dyDescent="0.3">
      <c r="SEC1026" s="131"/>
      <c r="SED1026" s="14"/>
      <c r="SEE1026" s="14"/>
      <c r="SEF1026" s="14"/>
      <c r="SEG1026" s="14"/>
      <c r="SEH1026" s="10"/>
      <c r="SEI1026" s="10"/>
      <c r="SEJ1026" s="10"/>
      <c r="SEK1026" s="10"/>
      <c r="SEL1026" s="10"/>
    </row>
    <row r="1027" spans="12977:12986" x14ac:dyDescent="0.3">
      <c r="SEC1027" s="131"/>
      <c r="SED1027" s="14"/>
      <c r="SEE1027" s="14"/>
      <c r="SEF1027" s="14"/>
      <c r="SEG1027" s="14"/>
      <c r="SEH1027" s="10"/>
      <c r="SEI1027" s="10"/>
      <c r="SEJ1027" s="10"/>
      <c r="SEK1027" s="10"/>
      <c r="SEL1027" s="10"/>
    </row>
    <row r="1028" spans="12977:12986" x14ac:dyDescent="0.3">
      <c r="SEC1028" s="131"/>
      <c r="SED1028" s="14"/>
      <c r="SEE1028" s="14"/>
      <c r="SEF1028" s="14"/>
      <c r="SEG1028" s="14"/>
      <c r="SEH1028" s="10"/>
      <c r="SEI1028" s="10"/>
      <c r="SEJ1028" s="10"/>
      <c r="SEK1028" s="10"/>
      <c r="SEL1028" s="10"/>
    </row>
    <row r="1029" spans="12977:12986" x14ac:dyDescent="0.3">
      <c r="SEC1029" s="131"/>
      <c r="SED1029" s="14"/>
      <c r="SEE1029" s="14"/>
      <c r="SEF1029" s="14"/>
      <c r="SEG1029" s="14"/>
      <c r="SEH1029" s="10"/>
      <c r="SEI1029" s="10"/>
      <c r="SEJ1029" s="10"/>
      <c r="SEK1029" s="10"/>
      <c r="SEL1029" s="10"/>
    </row>
    <row r="1030" spans="12977:12986" x14ac:dyDescent="0.3">
      <c r="SEC1030" s="131"/>
      <c r="SED1030" s="14"/>
      <c r="SEE1030" s="14"/>
      <c r="SEF1030" s="14"/>
      <c r="SEG1030" s="14"/>
      <c r="SEH1030" s="10"/>
      <c r="SEI1030" s="10"/>
      <c r="SEJ1030" s="10"/>
      <c r="SEK1030" s="10"/>
      <c r="SEL1030" s="10"/>
    </row>
    <row r="1031" spans="12977:12986" x14ac:dyDescent="0.3">
      <c r="SEC1031" s="131"/>
      <c r="SED1031" s="14"/>
      <c r="SEE1031" s="14"/>
      <c r="SEF1031" s="14"/>
      <c r="SEG1031" s="14"/>
      <c r="SEH1031" s="10"/>
      <c r="SEI1031" s="10"/>
      <c r="SEJ1031" s="10"/>
      <c r="SEK1031" s="10"/>
      <c r="SEL1031" s="10"/>
    </row>
    <row r="1032" spans="12977:12986" x14ac:dyDescent="0.3">
      <c r="SEC1032" s="131"/>
      <c r="SED1032" s="14"/>
      <c r="SEE1032" s="14"/>
      <c r="SEF1032" s="14"/>
      <c r="SEG1032" s="14"/>
      <c r="SEH1032" s="10"/>
      <c r="SEI1032" s="10"/>
      <c r="SEJ1032" s="10"/>
      <c r="SEK1032" s="10"/>
      <c r="SEL1032" s="10"/>
    </row>
    <row r="1033" spans="12977:12986" x14ac:dyDescent="0.3">
      <c r="SEC1033" s="131"/>
      <c r="SED1033" s="14"/>
      <c r="SEE1033" s="14"/>
      <c r="SEF1033" s="14"/>
      <c r="SEG1033" s="14"/>
      <c r="SEH1033" s="10"/>
      <c r="SEI1033" s="10"/>
      <c r="SEJ1033" s="10"/>
      <c r="SEK1033" s="10"/>
      <c r="SEL1033" s="10"/>
    </row>
    <row r="1034" spans="12977:12986" x14ac:dyDescent="0.3">
      <c r="SEC1034" s="131"/>
      <c r="SED1034" s="14"/>
      <c r="SEE1034" s="14"/>
      <c r="SEF1034" s="14"/>
      <c r="SEG1034" s="14"/>
      <c r="SEH1034" s="10"/>
      <c r="SEI1034" s="10"/>
      <c r="SEJ1034" s="10"/>
      <c r="SEK1034" s="10"/>
      <c r="SEL1034" s="10"/>
    </row>
    <row r="1035" spans="12977:12986" x14ac:dyDescent="0.3">
      <c r="SEC1035" s="131"/>
      <c r="SED1035" s="14"/>
      <c r="SEE1035" s="14"/>
      <c r="SEF1035" s="14"/>
      <c r="SEG1035" s="14"/>
      <c r="SEH1035" s="10"/>
      <c r="SEI1035" s="10"/>
      <c r="SEJ1035" s="10"/>
      <c r="SEK1035" s="10"/>
      <c r="SEL1035" s="10"/>
    </row>
    <row r="1036" spans="12977:12986" x14ac:dyDescent="0.3">
      <c r="SEC1036" s="131"/>
      <c r="SED1036" s="14"/>
      <c r="SEE1036" s="10"/>
      <c r="SEF1036" s="10"/>
      <c r="SEG1036" s="10"/>
      <c r="SEH1036" s="10"/>
      <c r="SEI1036" s="10"/>
      <c r="SEJ1036" s="10"/>
      <c r="SEK1036" s="10"/>
      <c r="SEL1036" s="10"/>
    </row>
    <row r="1037" spans="12977:12986" x14ac:dyDescent="0.3">
      <c r="SEC1037" s="131"/>
      <c r="SED1037" s="14"/>
      <c r="SEE1037" s="10"/>
      <c r="SEF1037" s="10"/>
      <c r="SEG1037" s="10"/>
      <c r="SEH1037" s="10"/>
      <c r="SEI1037" s="10"/>
      <c r="SEJ1037" s="10"/>
      <c r="SEK1037" s="10"/>
      <c r="SEL1037" s="10"/>
    </row>
    <row r="1038" spans="12977:12986" x14ac:dyDescent="0.3">
      <c r="SEC1038" s="131"/>
      <c r="SED1038" s="14"/>
      <c r="SEE1038" s="10"/>
      <c r="SEF1038" s="10"/>
      <c r="SEG1038" s="10"/>
      <c r="SEH1038" s="10"/>
      <c r="SEI1038" s="10"/>
      <c r="SEJ1038" s="10"/>
      <c r="SEK1038" s="10"/>
      <c r="SEL1038" s="10"/>
    </row>
    <row r="1039" spans="12977:12986" x14ac:dyDescent="0.3">
      <c r="SEC1039" s="131"/>
      <c r="SED1039" s="14"/>
      <c r="SEE1039" s="10"/>
      <c r="SEF1039" s="10"/>
      <c r="SEG1039" s="10"/>
      <c r="SEH1039" s="10"/>
      <c r="SEI1039" s="10"/>
      <c r="SEJ1039" s="10"/>
      <c r="SEK1039" s="10"/>
      <c r="SEL1039" s="10"/>
    </row>
    <row r="1040" spans="12977:12986" x14ac:dyDescent="0.3">
      <c r="SEC1040" s="131"/>
      <c r="SED1040" s="14"/>
      <c r="SEE1040" s="10"/>
      <c r="SEF1040" s="10"/>
      <c r="SEG1040" s="10"/>
      <c r="SEH1040" s="10"/>
      <c r="SEI1040" s="10"/>
      <c r="SEJ1040" s="10"/>
      <c r="SEK1040" s="10"/>
      <c r="SEL1040" s="10"/>
    </row>
    <row r="1041" spans="12977:12986" x14ac:dyDescent="0.3">
      <c r="SEC1041" s="131"/>
      <c r="SED1041" s="14"/>
      <c r="SEE1041" s="10"/>
      <c r="SEF1041" s="10"/>
      <c r="SEG1041" s="10"/>
      <c r="SEH1041" s="10"/>
      <c r="SEI1041" s="10"/>
      <c r="SEJ1041" s="10"/>
      <c r="SEK1041" s="10"/>
      <c r="SEL1041" s="10"/>
    </row>
    <row r="1042" spans="12977:12986" x14ac:dyDescent="0.3">
      <c r="SEC1042" s="131"/>
      <c r="SED1042" s="14"/>
      <c r="SEE1042" s="10"/>
      <c r="SEF1042" s="10"/>
      <c r="SEG1042" s="10"/>
      <c r="SEH1042" s="10"/>
      <c r="SEI1042" s="10"/>
      <c r="SEJ1042" s="10"/>
      <c r="SEK1042" s="10"/>
      <c r="SEL1042" s="10"/>
    </row>
    <row r="1043" spans="12977:12986" x14ac:dyDescent="0.3">
      <c r="SEC1043" s="131"/>
      <c r="SED1043" s="14"/>
      <c r="SEE1043" s="10"/>
      <c r="SEF1043" s="10"/>
      <c r="SEG1043" s="10"/>
      <c r="SEH1043" s="10"/>
      <c r="SEI1043" s="10"/>
      <c r="SEJ1043" s="10"/>
      <c r="SEK1043" s="10"/>
      <c r="SEL1043" s="10"/>
    </row>
    <row r="1044" spans="12977:12986" x14ac:dyDescent="0.3">
      <c r="SEC1044" s="131"/>
      <c r="SED1044" s="14"/>
      <c r="SEE1044" s="10"/>
      <c r="SEF1044" s="10"/>
      <c r="SEG1044" s="10"/>
      <c r="SEH1044" s="10"/>
      <c r="SEI1044" s="10"/>
      <c r="SEJ1044" s="10"/>
      <c r="SEK1044" s="10"/>
      <c r="SEL1044" s="10"/>
    </row>
    <row r="1045" spans="12977:12986" x14ac:dyDescent="0.3">
      <c r="SEC1045" s="131"/>
      <c r="SED1045" s="14"/>
      <c r="SEE1045" s="10"/>
      <c r="SEF1045" s="10"/>
      <c r="SEG1045" s="10"/>
      <c r="SEH1045" s="10"/>
      <c r="SEI1045" s="10"/>
      <c r="SEJ1045" s="10"/>
      <c r="SEK1045" s="10"/>
      <c r="SEL1045" s="10"/>
    </row>
    <row r="1046" spans="12977:12986" x14ac:dyDescent="0.3">
      <c r="SEC1046" s="131"/>
      <c r="SED1046" s="14"/>
      <c r="SEE1046" s="10"/>
      <c r="SEF1046" s="10"/>
      <c r="SEG1046" s="10"/>
      <c r="SEH1046" s="10"/>
      <c r="SEI1046" s="10"/>
      <c r="SEJ1046" s="10"/>
      <c r="SEK1046" s="10"/>
      <c r="SEL1046" s="10"/>
    </row>
    <row r="1047" spans="12977:12986" x14ac:dyDescent="0.3">
      <c r="SEC1047" s="131"/>
      <c r="SED1047" s="14"/>
      <c r="SEE1047" s="10"/>
      <c r="SEF1047" s="10"/>
      <c r="SEG1047" s="10"/>
      <c r="SEH1047" s="10"/>
      <c r="SEI1047" s="10"/>
      <c r="SEJ1047" s="10"/>
      <c r="SEK1047" s="10"/>
      <c r="SEL1047" s="10"/>
    </row>
    <row r="1048" spans="12977:12986" x14ac:dyDescent="0.3">
      <c r="SEC1048" s="131"/>
      <c r="SED1048" s="14"/>
      <c r="SEE1048" s="10"/>
      <c r="SEF1048" s="10"/>
      <c r="SEG1048" s="10"/>
      <c r="SEH1048" s="10"/>
      <c r="SEI1048" s="10"/>
      <c r="SEJ1048" s="10"/>
      <c r="SEK1048" s="10"/>
      <c r="SEL1048" s="10"/>
    </row>
    <row r="1049" spans="12977:12986" x14ac:dyDescent="0.3">
      <c r="SEC1049" s="131"/>
      <c r="SED1049" s="14"/>
      <c r="SEE1049" s="10"/>
      <c r="SEF1049" s="10"/>
      <c r="SEG1049" s="10"/>
      <c r="SEH1049" s="10"/>
      <c r="SEI1049" s="10"/>
      <c r="SEJ1049" s="10"/>
      <c r="SEK1049" s="10"/>
      <c r="SEL1049" s="10"/>
    </row>
    <row r="1050" spans="12977:12986" x14ac:dyDescent="0.3">
      <c r="SEC1050" s="131"/>
      <c r="SED1050" s="14"/>
      <c r="SEE1050" s="10"/>
      <c r="SEF1050" s="10"/>
      <c r="SEG1050" s="10"/>
      <c r="SEH1050" s="10"/>
      <c r="SEI1050" s="10"/>
      <c r="SEJ1050" s="10"/>
      <c r="SEK1050" s="10"/>
      <c r="SEL1050" s="10"/>
    </row>
    <row r="1051" spans="12977:12986" x14ac:dyDescent="0.3">
      <c r="SEC1051" s="131"/>
      <c r="SED1051" s="14"/>
      <c r="SEE1051" s="10"/>
      <c r="SEF1051" s="10"/>
      <c r="SEG1051" s="10"/>
      <c r="SEH1051" s="10"/>
      <c r="SEI1051" s="10"/>
      <c r="SEJ1051" s="10"/>
      <c r="SEK1051" s="10"/>
      <c r="SEL1051" s="10"/>
    </row>
    <row r="1052" spans="12977:12986" x14ac:dyDescent="0.3">
      <c r="SEC1052" s="131"/>
      <c r="SED1052" s="14"/>
      <c r="SEE1052" s="10"/>
      <c r="SEF1052" s="10"/>
      <c r="SEG1052" s="10"/>
      <c r="SEH1052" s="10"/>
      <c r="SEI1052" s="10"/>
      <c r="SEJ1052" s="10"/>
      <c r="SEK1052" s="10"/>
      <c r="SEL1052" s="10"/>
    </row>
    <row r="1053" spans="12977:12986" x14ac:dyDescent="0.3">
      <c r="SEC1053" s="131"/>
      <c r="SED1053" s="14"/>
      <c r="SEE1053" s="10"/>
      <c r="SEF1053" s="10"/>
      <c r="SEG1053" s="10"/>
      <c r="SEH1053" s="10"/>
      <c r="SEI1053" s="10"/>
      <c r="SEJ1053" s="10"/>
      <c r="SEK1053" s="10"/>
      <c r="SEL1053" s="10"/>
    </row>
    <row r="1054" spans="12977:12986" x14ac:dyDescent="0.3">
      <c r="SEC1054" s="131"/>
      <c r="SED1054" s="14"/>
      <c r="SEE1054" s="10"/>
      <c r="SEF1054" s="10"/>
      <c r="SEG1054" s="10"/>
      <c r="SEH1054" s="10"/>
      <c r="SEI1054" s="10"/>
      <c r="SEJ1054" s="10"/>
      <c r="SEK1054" s="10"/>
      <c r="SEL1054" s="10"/>
    </row>
    <row r="1055" spans="12977:12986" x14ac:dyDescent="0.3">
      <c r="SEC1055" s="131"/>
      <c r="SED1055" s="14"/>
      <c r="SEE1055" s="10"/>
      <c r="SEF1055" s="10"/>
      <c r="SEG1055" s="10"/>
      <c r="SEH1055" s="10"/>
      <c r="SEI1055" s="10"/>
      <c r="SEJ1055" s="10"/>
      <c r="SEK1055" s="10"/>
      <c r="SEL1055" s="10"/>
    </row>
    <row r="1056" spans="12977:12986" x14ac:dyDescent="0.3">
      <c r="SEC1056" s="131"/>
      <c r="SED1056" s="14"/>
      <c r="SEE1056" s="10"/>
      <c r="SEF1056" s="10"/>
      <c r="SEG1056" s="10"/>
      <c r="SEH1056" s="10"/>
      <c r="SEI1056" s="10"/>
      <c r="SEJ1056" s="10"/>
      <c r="SEK1056" s="10"/>
      <c r="SEL1056" s="10"/>
    </row>
    <row r="1057" spans="12977:12986" x14ac:dyDescent="0.3">
      <c r="SEC1057" s="131"/>
      <c r="SED1057" s="14"/>
      <c r="SEE1057" s="10"/>
      <c r="SEF1057" s="10"/>
      <c r="SEG1057" s="10"/>
      <c r="SEH1057" s="10"/>
      <c r="SEI1057" s="10"/>
      <c r="SEJ1057" s="10"/>
      <c r="SEK1057" s="10"/>
      <c r="SEL1057" s="10"/>
    </row>
    <row r="1058" spans="12977:12986" x14ac:dyDescent="0.3">
      <c r="SEC1058" s="131"/>
      <c r="SED1058" s="14"/>
      <c r="SEE1058" s="10"/>
      <c r="SEF1058" s="10"/>
      <c r="SEG1058" s="10"/>
      <c r="SEH1058" s="10"/>
      <c r="SEI1058" s="10"/>
      <c r="SEJ1058" s="10"/>
      <c r="SEK1058" s="10"/>
      <c r="SEL1058" s="10"/>
    </row>
    <row r="1059" spans="12977:12986" x14ac:dyDescent="0.3">
      <c r="SEC1059" s="131"/>
      <c r="SED1059" s="14"/>
      <c r="SEE1059" s="10"/>
      <c r="SEF1059" s="10"/>
      <c r="SEG1059" s="10"/>
      <c r="SEH1059" s="10"/>
      <c r="SEI1059" s="10"/>
      <c r="SEJ1059" s="10"/>
      <c r="SEK1059" s="10"/>
      <c r="SEL1059" s="10"/>
    </row>
    <row r="1060" spans="12977:12986" x14ac:dyDescent="0.3">
      <c r="SEC1060" s="131"/>
      <c r="SED1060" s="14"/>
      <c r="SEE1060" s="10"/>
      <c r="SEF1060" s="10"/>
      <c r="SEG1060" s="10"/>
      <c r="SEH1060" s="10"/>
      <c r="SEI1060" s="10"/>
      <c r="SEJ1060" s="10"/>
      <c r="SEK1060" s="10"/>
      <c r="SEL1060" s="10"/>
    </row>
    <row r="1061" spans="12977:12986" x14ac:dyDescent="0.3">
      <c r="SEC1061" s="131"/>
      <c r="SED1061" s="14"/>
      <c r="SEE1061" s="10"/>
      <c r="SEF1061" s="10"/>
      <c r="SEG1061" s="10"/>
      <c r="SEH1061" s="10"/>
      <c r="SEI1061" s="10"/>
      <c r="SEJ1061" s="10"/>
      <c r="SEK1061" s="10"/>
      <c r="SEL1061" s="10"/>
    </row>
    <row r="1062" spans="12977:12986" x14ac:dyDescent="0.3">
      <c r="SEC1062" s="131"/>
      <c r="SED1062" s="14"/>
      <c r="SEE1062" s="10"/>
      <c r="SEF1062" s="10"/>
      <c r="SEG1062" s="10"/>
      <c r="SEH1062" s="10"/>
      <c r="SEI1062" s="10"/>
      <c r="SEJ1062" s="10"/>
      <c r="SEK1062" s="10"/>
      <c r="SEL1062" s="10"/>
    </row>
    <row r="1063" spans="12977:12986" x14ac:dyDescent="0.3">
      <c r="SEC1063" s="131"/>
      <c r="SED1063" s="14"/>
      <c r="SEE1063" s="10"/>
      <c r="SEF1063" s="10"/>
      <c r="SEG1063" s="10"/>
      <c r="SEH1063" s="10"/>
      <c r="SEI1063" s="10"/>
      <c r="SEJ1063" s="10"/>
      <c r="SEK1063" s="10"/>
      <c r="SEL1063" s="10"/>
    </row>
    <row r="1064" spans="12977:12986" x14ac:dyDescent="0.3">
      <c r="SEC1064" s="131"/>
      <c r="SED1064" s="14"/>
      <c r="SEE1064" s="10"/>
      <c r="SEF1064" s="10"/>
      <c r="SEG1064" s="10"/>
      <c r="SEH1064" s="10"/>
      <c r="SEI1064" s="10"/>
      <c r="SEJ1064" s="10"/>
      <c r="SEK1064" s="10"/>
      <c r="SEL1064" s="10"/>
    </row>
    <row r="1065" spans="12977:12986" x14ac:dyDescent="0.3">
      <c r="SEC1065" s="131"/>
      <c r="SED1065" s="14"/>
      <c r="SEE1065" s="10"/>
      <c r="SEF1065" s="10"/>
      <c r="SEG1065" s="10"/>
      <c r="SEH1065" s="10"/>
      <c r="SEI1065" s="10"/>
      <c r="SEJ1065" s="10"/>
      <c r="SEK1065" s="10"/>
      <c r="SEL1065" s="10"/>
    </row>
    <row r="1066" spans="12977:12986" x14ac:dyDescent="0.3">
      <c r="SEC1066" s="131"/>
      <c r="SED1066" s="14"/>
      <c r="SEE1066" s="10"/>
      <c r="SEF1066" s="10"/>
      <c r="SEG1066" s="10"/>
      <c r="SEH1066" s="10"/>
      <c r="SEI1066" s="10"/>
      <c r="SEJ1066" s="10"/>
      <c r="SEK1066" s="10"/>
      <c r="SEL1066" s="10"/>
    </row>
    <row r="1067" spans="12977:12986" x14ac:dyDescent="0.3">
      <c r="SEC1067" s="131"/>
      <c r="SED1067" s="14"/>
      <c r="SEE1067" s="10"/>
      <c r="SEF1067" s="10"/>
      <c r="SEG1067" s="10"/>
      <c r="SEH1067" s="10"/>
      <c r="SEI1067" s="10"/>
      <c r="SEJ1067" s="10"/>
      <c r="SEK1067" s="10"/>
      <c r="SEL1067" s="10"/>
    </row>
    <row r="1068" spans="12977:12986" x14ac:dyDescent="0.3">
      <c r="SEC1068" s="131"/>
      <c r="SED1068" s="14"/>
      <c r="SEE1068" s="10"/>
      <c r="SEF1068" s="10"/>
      <c r="SEG1068" s="10"/>
      <c r="SEH1068" s="10"/>
      <c r="SEI1068" s="10"/>
      <c r="SEJ1068" s="10"/>
      <c r="SEK1068" s="10"/>
      <c r="SEL1068" s="10"/>
    </row>
    <row r="1069" spans="12977:12986" x14ac:dyDescent="0.3">
      <c r="SEC1069" s="131"/>
      <c r="SED1069" s="14"/>
      <c r="SEE1069" s="10"/>
      <c r="SEF1069" s="10"/>
      <c r="SEG1069" s="10"/>
      <c r="SEH1069" s="10"/>
      <c r="SEI1069" s="10"/>
      <c r="SEJ1069" s="10"/>
      <c r="SEK1069" s="10"/>
      <c r="SEL1069" s="10"/>
    </row>
    <row r="1070" spans="12977:12986" x14ac:dyDescent="0.3">
      <c r="SEC1070" s="131"/>
      <c r="SED1070" s="14"/>
      <c r="SEE1070" s="10"/>
      <c r="SEF1070" s="10"/>
      <c r="SEG1070" s="10"/>
      <c r="SEH1070" s="10"/>
      <c r="SEI1070" s="10"/>
      <c r="SEJ1070" s="10"/>
      <c r="SEK1070" s="10"/>
      <c r="SEL1070" s="10"/>
    </row>
    <row r="1071" spans="12977:12986" x14ac:dyDescent="0.3">
      <c r="SEC1071" s="131"/>
      <c r="SED1071" s="14"/>
      <c r="SEE1071" s="10"/>
      <c r="SEF1071" s="10"/>
      <c r="SEG1071" s="10"/>
      <c r="SEH1071" s="10"/>
      <c r="SEI1071" s="10"/>
      <c r="SEJ1071" s="10"/>
      <c r="SEK1071" s="10"/>
      <c r="SEL1071" s="10"/>
    </row>
    <row r="1072" spans="12977:12986" x14ac:dyDescent="0.3">
      <c r="SEC1072" s="131"/>
      <c r="SED1072" s="14"/>
      <c r="SEE1072" s="10"/>
      <c r="SEF1072" s="10"/>
      <c r="SEG1072" s="10"/>
      <c r="SEH1072" s="10"/>
      <c r="SEI1072" s="10"/>
      <c r="SEJ1072" s="10"/>
      <c r="SEK1072" s="10"/>
      <c r="SEL1072" s="10"/>
    </row>
    <row r="1073" spans="12977:12986" x14ac:dyDescent="0.3">
      <c r="SEC1073" s="131"/>
      <c r="SED1073" s="14"/>
      <c r="SEE1073" s="10"/>
      <c r="SEF1073" s="10"/>
      <c r="SEG1073" s="10"/>
      <c r="SEH1073" s="10"/>
      <c r="SEI1073" s="10"/>
      <c r="SEJ1073" s="10"/>
      <c r="SEK1073" s="10"/>
      <c r="SEL1073" s="10"/>
    </row>
    <row r="1074" spans="12977:12986" x14ac:dyDescent="0.3">
      <c r="SEC1074" s="131"/>
      <c r="SED1074" s="14"/>
      <c r="SEE1074" s="10"/>
      <c r="SEF1074" s="10"/>
      <c r="SEG1074" s="10"/>
      <c r="SEH1074" s="10"/>
      <c r="SEI1074" s="10"/>
      <c r="SEJ1074" s="10"/>
      <c r="SEK1074" s="10"/>
      <c r="SEL1074" s="10"/>
    </row>
    <row r="1075" spans="12977:12986" x14ac:dyDescent="0.3">
      <c r="SEC1075" s="131"/>
      <c r="SED1075" s="14"/>
      <c r="SEE1075" s="10"/>
      <c r="SEF1075" s="10"/>
      <c r="SEG1075" s="10"/>
      <c r="SEH1075" s="10"/>
      <c r="SEI1075" s="10"/>
      <c r="SEJ1075" s="10"/>
      <c r="SEK1075" s="10"/>
      <c r="SEL1075" s="10"/>
    </row>
    <row r="1076" spans="12977:12986" x14ac:dyDescent="0.3">
      <c r="SEC1076" s="131"/>
      <c r="SED1076" s="14"/>
      <c r="SEE1076" s="10"/>
      <c r="SEF1076" s="10"/>
      <c r="SEG1076" s="10"/>
      <c r="SEH1076" s="10"/>
      <c r="SEI1076" s="10"/>
      <c r="SEJ1076" s="10"/>
      <c r="SEK1076" s="10"/>
      <c r="SEL1076" s="10"/>
    </row>
    <row r="1077" spans="12977:12986" x14ac:dyDescent="0.3">
      <c r="SEC1077" s="131"/>
      <c r="SED1077" s="14"/>
      <c r="SEE1077" s="10"/>
      <c r="SEF1077" s="10"/>
      <c r="SEG1077" s="10"/>
      <c r="SEH1077" s="10"/>
      <c r="SEI1077" s="10"/>
      <c r="SEJ1077" s="10"/>
      <c r="SEK1077" s="10"/>
      <c r="SEL1077" s="10"/>
    </row>
    <row r="1078" spans="12977:12986" x14ac:dyDescent="0.3">
      <c r="SEC1078" s="131"/>
      <c r="SED1078" s="14"/>
      <c r="SEE1078" s="10"/>
      <c r="SEF1078" s="10"/>
      <c r="SEG1078" s="10"/>
      <c r="SEH1078" s="10"/>
      <c r="SEI1078" s="10"/>
      <c r="SEJ1078" s="10"/>
      <c r="SEK1078" s="10"/>
      <c r="SEL1078" s="10"/>
    </row>
    <row r="1079" spans="12977:12986" x14ac:dyDescent="0.3">
      <c r="SEC1079" s="131"/>
      <c r="SED1079" s="14"/>
      <c r="SEE1079" s="10"/>
      <c r="SEF1079" s="10"/>
      <c r="SEG1079" s="10"/>
      <c r="SEH1079" s="10"/>
      <c r="SEI1079" s="10"/>
      <c r="SEJ1079" s="10"/>
      <c r="SEK1079" s="10"/>
      <c r="SEL1079" s="10"/>
    </row>
    <row r="1080" spans="12977:12986" x14ac:dyDescent="0.3">
      <c r="SEC1080" s="131"/>
      <c r="SED1080" s="14"/>
      <c r="SEE1080" s="10"/>
      <c r="SEF1080" s="10"/>
      <c r="SEG1080" s="10"/>
      <c r="SEH1080" s="10"/>
      <c r="SEI1080" s="10"/>
      <c r="SEJ1080" s="10"/>
      <c r="SEK1080" s="10"/>
      <c r="SEL1080" s="10"/>
    </row>
    <row r="1081" spans="12977:12986" x14ac:dyDescent="0.3">
      <c r="SEC1081" s="131"/>
      <c r="SED1081" s="14"/>
      <c r="SEE1081" s="10"/>
      <c r="SEF1081" s="10"/>
      <c r="SEG1081" s="10"/>
      <c r="SEH1081" s="10"/>
      <c r="SEI1081" s="10"/>
      <c r="SEJ1081" s="10"/>
      <c r="SEK1081" s="10"/>
      <c r="SEL1081" s="10"/>
    </row>
    <row r="1082" spans="12977:12986" x14ac:dyDescent="0.3">
      <c r="SEC1082" s="131"/>
      <c r="SED1082" s="14"/>
      <c r="SEE1082" s="10"/>
      <c r="SEF1082" s="10"/>
      <c r="SEG1082" s="10"/>
      <c r="SEH1082" s="10"/>
      <c r="SEI1082" s="10"/>
      <c r="SEJ1082" s="10"/>
      <c r="SEK1082" s="10"/>
      <c r="SEL1082" s="10"/>
    </row>
    <row r="1083" spans="12977:12986" x14ac:dyDescent="0.3">
      <c r="SEC1083" s="131"/>
      <c r="SED1083" s="14"/>
      <c r="SEE1083" s="10"/>
      <c r="SEF1083" s="10"/>
      <c r="SEG1083" s="10"/>
      <c r="SEH1083" s="10"/>
      <c r="SEI1083" s="10"/>
      <c r="SEJ1083" s="10"/>
      <c r="SEK1083" s="10"/>
      <c r="SEL1083" s="10"/>
    </row>
    <row r="1084" spans="12977:12986" x14ac:dyDescent="0.3">
      <c r="SEC1084" s="131"/>
      <c r="SED1084" s="14"/>
      <c r="SEE1084" s="10"/>
      <c r="SEF1084" s="10"/>
      <c r="SEG1084" s="10"/>
      <c r="SEH1084" s="10"/>
      <c r="SEI1084" s="10"/>
      <c r="SEJ1084" s="10"/>
      <c r="SEK1084" s="10"/>
      <c r="SEL1084" s="10"/>
    </row>
    <row r="1085" spans="12977:12986" x14ac:dyDescent="0.3">
      <c r="SEC1085" s="131"/>
      <c r="SED1085" s="14"/>
      <c r="SEE1085" s="10"/>
      <c r="SEF1085" s="10"/>
      <c r="SEG1085" s="10"/>
      <c r="SEH1085" s="10"/>
      <c r="SEI1085" s="10"/>
      <c r="SEJ1085" s="10"/>
      <c r="SEK1085" s="10"/>
      <c r="SEL1085" s="10"/>
    </row>
    <row r="1086" spans="12977:12986" x14ac:dyDescent="0.3">
      <c r="SEC1086" s="131"/>
      <c r="SED1086" s="14"/>
      <c r="SEE1086" s="10"/>
      <c r="SEF1086" s="10"/>
      <c r="SEG1086" s="10"/>
      <c r="SEH1086" s="10"/>
      <c r="SEI1086" s="10"/>
      <c r="SEJ1086" s="10"/>
      <c r="SEK1086" s="10"/>
      <c r="SEL1086" s="10"/>
    </row>
    <row r="1087" spans="12977:12986" x14ac:dyDescent="0.3">
      <c r="SEC1087" s="131"/>
      <c r="SED1087" s="14"/>
      <c r="SEE1087" s="10"/>
      <c r="SEF1087" s="10"/>
      <c r="SEG1087" s="10"/>
      <c r="SEH1087" s="10"/>
      <c r="SEI1087" s="10"/>
      <c r="SEJ1087" s="10"/>
      <c r="SEK1087" s="10"/>
      <c r="SEL1087" s="10"/>
    </row>
    <row r="1088" spans="12977:12986" x14ac:dyDescent="0.3">
      <c r="SEC1088" s="131"/>
      <c r="SED1088" s="14"/>
      <c r="SEE1088" s="10"/>
      <c r="SEF1088" s="10"/>
      <c r="SEG1088" s="10"/>
      <c r="SEH1088" s="10"/>
      <c r="SEI1088" s="10"/>
      <c r="SEJ1088" s="10"/>
      <c r="SEK1088" s="10"/>
      <c r="SEL1088" s="10"/>
    </row>
    <row r="1089" spans="12977:12986" x14ac:dyDescent="0.3">
      <c r="SEC1089" s="131"/>
      <c r="SED1089" s="14"/>
      <c r="SEE1089" s="10"/>
      <c r="SEF1089" s="10"/>
      <c r="SEG1089" s="10"/>
      <c r="SEH1089" s="10"/>
      <c r="SEI1089" s="10"/>
      <c r="SEJ1089" s="10"/>
      <c r="SEK1089" s="10"/>
      <c r="SEL1089" s="10"/>
    </row>
    <row r="1090" spans="12977:12986" x14ac:dyDescent="0.3">
      <c r="SEC1090" s="131"/>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I59:AS59"/>
    <mergeCell ref="A75:H75"/>
    <mergeCell ref="A76:H76"/>
    <mergeCell ref="A41:H41"/>
    <mergeCell ref="A42:H42"/>
    <mergeCell ref="V47:AE47"/>
    <mergeCell ref="A46:BO46"/>
    <mergeCell ref="BI42:BO42"/>
    <mergeCell ref="BD43:BH43"/>
    <mergeCell ref="BI43:BO43"/>
    <mergeCell ref="AT42:AX42"/>
    <mergeCell ref="AY42:BC42"/>
    <mergeCell ref="A44:BO44"/>
    <mergeCell ref="E45:BO45"/>
    <mergeCell ref="A45:D45"/>
    <mergeCell ref="A61:H61"/>
    <mergeCell ref="BI70:BO73"/>
    <mergeCell ref="AT72:AX73"/>
    <mergeCell ref="AY72:BC7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formula1>"1ST,2ND"</formula1>
    </dataValidation>
    <dataValidation type="list" allowBlank="1" showInputMessage="1" showErrorMessage="1" sqref="AH16 S16 S13 A16 A13">
      <formula1>"⁄"</formula1>
    </dataValidation>
    <dataValidation type="list" allowBlank="1" showInputMessage="1" showErrorMessage="1" sqref="AN9">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formula1>"Core,Applied,Specialized"</formula1>
    </dataValidation>
    <dataValidation type="list" allowBlank="1" showInputMessage="1" showErrorMessage="1" errorTitle="Careful!" error="Lowest Grade is 60, Highest is 100." sqref="AT31:BC42 AT74:BC85 AY58:BC61 AY101:BC104">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formula1>"60,61,62,63,64,65,66,67,68,69,70,71,72,73,74"</formula1>
    </dataValidation>
    <dataValidation allowBlank="1" showInputMessage="1" showErrorMessage="1" promptTitle="General Average" prompt="As high school (HS) or junior high school (JHS) completer." sqref="D14:G14"/>
    <dataValidation allowBlank="1" showInputMessage="1" showErrorMessage="1" promptTitle="Reminder!" prompt="This is the name of the high school (HS) or junior high school (JHS) where the student graduated/completed." sqref="Z14"/>
    <dataValidation allowBlank="1" showInputMessage="1" showErrorMessage="1" promptTitle="Reminder!" prompt="This is the address of the high school (HS) or junior high school (JHS) where the student graduated/completed." sqref="AW14"/>
    <dataValidation allowBlank="1" showInputMessage="1" showErrorMessage="1" promptTitle="HINT" prompt="Press &quot;Tab&quot; on your keyboard to jump from one cell to the next cell. You can also use the &quot;arrow keys&quot;." sqref="F8"/>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O115"/>
  <sheetViews>
    <sheetView showGridLines="0" topLeftCell="A91" zoomScaleNormal="100" zoomScalePageLayoutView="125" workbookViewId="0">
      <selection activeCell="BH113" sqref="BH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4" t="s">
        <v>75</v>
      </c>
      <c r="B1" s="94"/>
      <c r="C1" s="94"/>
      <c r="D1" s="4"/>
      <c r="E1" s="4"/>
      <c r="F1" s="4"/>
      <c r="G1" s="4"/>
      <c r="H1" s="4"/>
      <c r="I1" s="5" t="str">
        <f>IF(FRONT!F8="","",FRONT!F8&amp;","&amp;"  "&amp;FRONT!Y8&amp;"  "&amp;FRONT!AZ8)</f>
        <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9" t="s">
        <v>109</v>
      </c>
      <c r="BI1" s="179"/>
      <c r="BJ1" s="179"/>
      <c r="BK1" s="179"/>
      <c r="BL1" s="179"/>
      <c r="BM1" s="179"/>
      <c r="BN1" s="179"/>
      <c r="BO1" s="179"/>
    </row>
    <row r="2" spans="1:67" ht="1.5" customHeight="1" x14ac:dyDescent="0.3">
      <c r="A2" s="15"/>
      <c r="I2" s="17"/>
      <c r="BO2" s="18"/>
    </row>
    <row r="3" spans="1:67" ht="1.5" customHeight="1" x14ac:dyDescent="0.3">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row>
    <row r="4" spans="1:67" x14ac:dyDescent="0.3">
      <c r="A4" s="85" t="s">
        <v>34</v>
      </c>
      <c r="B4" s="85"/>
      <c r="C4" s="85"/>
      <c r="D4" s="85"/>
      <c r="E4" s="117"/>
      <c r="F4" s="87"/>
      <c r="G4" s="87"/>
      <c r="H4" s="87"/>
      <c r="I4" s="87"/>
      <c r="J4" s="87"/>
      <c r="K4" s="87"/>
      <c r="L4" s="87"/>
      <c r="M4" s="87"/>
      <c r="N4" s="87"/>
      <c r="O4" s="87"/>
      <c r="P4" s="87"/>
      <c r="Q4" s="87"/>
      <c r="R4" s="87"/>
      <c r="S4" s="87"/>
      <c r="T4" s="87"/>
      <c r="U4" s="87"/>
      <c r="V4" s="87"/>
      <c r="W4" s="87"/>
      <c r="X4" s="87"/>
      <c r="Y4" s="87"/>
      <c r="Z4" s="87"/>
      <c r="AA4" s="87"/>
      <c r="AB4" s="125" t="s">
        <v>46</v>
      </c>
      <c r="AC4" s="125"/>
      <c r="AD4" s="125"/>
      <c r="AE4" s="125"/>
      <c r="AF4" s="87"/>
      <c r="AG4" s="87"/>
      <c r="AH4" s="87"/>
      <c r="AI4" s="87"/>
      <c r="AJ4" s="87"/>
      <c r="AK4" s="87"/>
      <c r="AL4" s="87"/>
      <c r="AM4" s="85" t="s">
        <v>35</v>
      </c>
      <c r="AN4" s="85"/>
      <c r="AO4" s="85"/>
      <c r="AP4" s="85"/>
      <c r="AQ4" s="85"/>
      <c r="AR4" s="85"/>
      <c r="AS4" s="87"/>
      <c r="AT4" s="87"/>
      <c r="AU4" s="87"/>
      <c r="AV4" s="87"/>
      <c r="AW4" s="87"/>
      <c r="AX4" s="87"/>
      <c r="AY4" s="85" t="s">
        <v>3</v>
      </c>
      <c r="AZ4" s="85"/>
      <c r="BA4" s="117"/>
      <c r="BB4" s="87"/>
      <c r="BC4" s="87"/>
      <c r="BD4" s="87"/>
      <c r="BE4" s="87"/>
      <c r="BF4" s="87"/>
      <c r="BG4" s="87"/>
      <c r="BH4" s="125" t="s">
        <v>4</v>
      </c>
      <c r="BI4" s="125"/>
      <c r="BJ4" s="125"/>
      <c r="BK4" s="87"/>
      <c r="BL4" s="87"/>
      <c r="BM4" s="87"/>
      <c r="BN4" s="87"/>
      <c r="BO4" s="87"/>
    </row>
    <row r="5" spans="1:67" x14ac:dyDescent="0.3">
      <c r="A5" s="85" t="s">
        <v>37</v>
      </c>
      <c r="B5" s="85"/>
      <c r="C5" s="85"/>
      <c r="D5" s="85"/>
      <c r="E5" s="85"/>
      <c r="F5" s="85"/>
      <c r="G5" s="11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125" t="s">
        <v>5</v>
      </c>
      <c r="AO5" s="125"/>
      <c r="AP5" s="125"/>
      <c r="AQ5" s="125"/>
      <c r="AR5" s="125"/>
      <c r="AS5" s="117"/>
      <c r="AT5" s="87"/>
      <c r="AU5" s="87"/>
      <c r="AV5" s="87"/>
      <c r="AW5" s="87"/>
      <c r="AX5" s="87"/>
      <c r="AY5" s="87"/>
      <c r="AZ5" s="87"/>
      <c r="BA5" s="87"/>
      <c r="BB5" s="87"/>
      <c r="BC5" s="87"/>
      <c r="BD5" s="87"/>
      <c r="BE5" s="87"/>
      <c r="BF5" s="87"/>
      <c r="BG5" s="87"/>
      <c r="BH5" s="87"/>
      <c r="BI5" s="87"/>
      <c r="BJ5" s="87"/>
      <c r="BK5" s="87"/>
      <c r="BL5" s="87"/>
      <c r="BM5" s="87"/>
      <c r="BN5" s="87"/>
      <c r="BO5" s="87"/>
    </row>
    <row r="6" spans="1:67" ht="3" customHeight="1" thickBot="1" x14ac:dyDescent="0.35">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row>
    <row r="7" spans="1:67" ht="11.25" customHeight="1" x14ac:dyDescent="0.3">
      <c r="A7" s="109" t="s">
        <v>74</v>
      </c>
      <c r="B7" s="110"/>
      <c r="C7" s="110"/>
      <c r="D7" s="110"/>
      <c r="E7" s="110"/>
      <c r="F7" s="110"/>
      <c r="G7" s="110"/>
      <c r="H7" s="111"/>
      <c r="I7" s="154" t="s">
        <v>104</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70" t="s">
        <v>1</v>
      </c>
      <c r="AU7" s="170"/>
      <c r="AV7" s="170"/>
      <c r="AW7" s="170"/>
      <c r="AX7" s="170"/>
      <c r="AY7" s="170"/>
      <c r="AZ7" s="170"/>
      <c r="BA7" s="170"/>
      <c r="BB7" s="170"/>
      <c r="BC7" s="170"/>
      <c r="BD7" s="105" t="s">
        <v>41</v>
      </c>
      <c r="BE7" s="105"/>
      <c r="BF7" s="105"/>
      <c r="BG7" s="105"/>
      <c r="BH7" s="105"/>
      <c r="BI7" s="105" t="s">
        <v>2</v>
      </c>
      <c r="BJ7" s="105"/>
      <c r="BK7" s="105"/>
      <c r="BL7" s="105"/>
      <c r="BM7" s="105"/>
      <c r="BN7" s="105"/>
      <c r="BO7" s="107"/>
    </row>
    <row r="8" spans="1:67" ht="11.25" customHeight="1" x14ac:dyDescent="0.3">
      <c r="A8" s="67"/>
      <c r="B8" s="68"/>
      <c r="C8" s="68"/>
      <c r="D8" s="68"/>
      <c r="E8" s="68"/>
      <c r="F8" s="68"/>
      <c r="G8" s="68"/>
      <c r="H8" s="69"/>
      <c r="I8" s="88"/>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6"/>
      <c r="AU8" s="96"/>
      <c r="AV8" s="96"/>
      <c r="AW8" s="96"/>
      <c r="AX8" s="96"/>
      <c r="AY8" s="96"/>
      <c r="AZ8" s="96"/>
      <c r="BA8" s="96"/>
      <c r="BB8" s="96"/>
      <c r="BC8" s="96"/>
      <c r="BD8" s="106"/>
      <c r="BE8" s="106"/>
      <c r="BF8" s="106"/>
      <c r="BG8" s="106"/>
      <c r="BH8" s="106"/>
      <c r="BI8" s="106"/>
      <c r="BJ8" s="106"/>
      <c r="BK8" s="106"/>
      <c r="BL8" s="106"/>
      <c r="BM8" s="106"/>
      <c r="BN8" s="106"/>
      <c r="BO8" s="108"/>
    </row>
    <row r="9" spans="1:67" ht="11.25" customHeight="1" x14ac:dyDescent="0.3">
      <c r="A9" s="67"/>
      <c r="B9" s="68"/>
      <c r="C9" s="68"/>
      <c r="D9" s="68"/>
      <c r="E9" s="68"/>
      <c r="F9" s="68"/>
      <c r="G9" s="68"/>
      <c r="H9" s="69"/>
      <c r="I9" s="88"/>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6" t="str">
        <f>IF(BK4="","",IF(BK4="1ST","1ST",IF(BK4="2ND","3RD")))</f>
        <v/>
      </c>
      <c r="AU9" s="96"/>
      <c r="AV9" s="96"/>
      <c r="AW9" s="96"/>
      <c r="AX9" s="96"/>
      <c r="AY9" s="96" t="str">
        <f>IF(BK4="","",IF(BK4="1ST","2ND",IF(BK4="2ND","4TH")))</f>
        <v/>
      </c>
      <c r="AZ9" s="96"/>
      <c r="BA9" s="96"/>
      <c r="BB9" s="96"/>
      <c r="BC9" s="96"/>
      <c r="BD9" s="106"/>
      <c r="BE9" s="106"/>
      <c r="BF9" s="106"/>
      <c r="BG9" s="106"/>
      <c r="BH9" s="106"/>
      <c r="BI9" s="106"/>
      <c r="BJ9" s="106"/>
      <c r="BK9" s="106"/>
      <c r="BL9" s="106"/>
      <c r="BM9" s="106"/>
      <c r="BN9" s="106"/>
      <c r="BO9" s="108"/>
    </row>
    <row r="10" spans="1:67" ht="11.25" customHeight="1" x14ac:dyDescent="0.3">
      <c r="A10" s="70"/>
      <c r="B10" s="71"/>
      <c r="C10" s="71"/>
      <c r="D10" s="71"/>
      <c r="E10" s="71"/>
      <c r="F10" s="71"/>
      <c r="G10" s="71"/>
      <c r="H10" s="72"/>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3"/>
      <c r="AT10" s="96"/>
      <c r="AU10" s="96"/>
      <c r="AV10" s="96"/>
      <c r="AW10" s="96"/>
      <c r="AX10" s="96"/>
      <c r="AY10" s="96"/>
      <c r="AZ10" s="96"/>
      <c r="BA10" s="96"/>
      <c r="BB10" s="96"/>
      <c r="BC10" s="96"/>
      <c r="BD10" s="106"/>
      <c r="BE10" s="106"/>
      <c r="BF10" s="106"/>
      <c r="BG10" s="106"/>
      <c r="BH10" s="106"/>
      <c r="BI10" s="106"/>
      <c r="BJ10" s="106"/>
      <c r="BK10" s="106"/>
      <c r="BL10" s="106"/>
      <c r="BM10" s="106"/>
      <c r="BN10" s="106"/>
      <c r="BO10" s="108"/>
    </row>
    <row r="11" spans="1:67" ht="20.100000000000001" customHeight="1" x14ac:dyDescent="0.3">
      <c r="A11" s="97"/>
      <c r="B11" s="65"/>
      <c r="C11" s="65"/>
      <c r="D11" s="65"/>
      <c r="E11" s="65"/>
      <c r="F11" s="65"/>
      <c r="G11" s="65"/>
      <c r="H11" s="66"/>
      <c r="I11" s="74"/>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6"/>
      <c r="AT11" s="81"/>
      <c r="AU11" s="81"/>
      <c r="AV11" s="81"/>
      <c r="AW11" s="81"/>
      <c r="AX11" s="81"/>
      <c r="AY11" s="81"/>
      <c r="AZ11" s="81"/>
      <c r="BA11" s="81"/>
      <c r="BB11" s="81"/>
      <c r="BC11" s="81"/>
      <c r="BD11" s="61" t="str">
        <f t="shared" ref="BD11" si="0">IF(OR(AT11="",AY11=""),"",IF(ISERROR(ROUND(AVERAGE(AT11,AY11),0)),"",ROUND(AVERAGE(AT11,AY11),0)))</f>
        <v/>
      </c>
      <c r="BE11" s="61"/>
      <c r="BF11" s="61"/>
      <c r="BG11" s="61"/>
      <c r="BH11" s="61"/>
      <c r="BI11" s="61" t="str">
        <f t="shared" ref="BI11" si="1">IF(OR(AT11="",AY11="",BD11=""),"",IF(BD11&gt;=75,"PASSED","FAILED"))</f>
        <v/>
      </c>
      <c r="BJ11" s="61"/>
      <c r="BK11" s="61"/>
      <c r="BL11" s="61"/>
      <c r="BM11" s="61"/>
      <c r="BN11" s="61"/>
      <c r="BO11" s="62"/>
    </row>
    <row r="12" spans="1:67" ht="20.100000000000001" customHeight="1" x14ac:dyDescent="0.3">
      <c r="A12" s="97"/>
      <c r="B12" s="65"/>
      <c r="C12" s="65"/>
      <c r="D12" s="65"/>
      <c r="E12" s="65"/>
      <c r="F12" s="65"/>
      <c r="G12" s="65"/>
      <c r="H12" s="66"/>
      <c r="I12" s="74"/>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6"/>
      <c r="AT12" s="81"/>
      <c r="AU12" s="81"/>
      <c r="AV12" s="81"/>
      <c r="AW12" s="81"/>
      <c r="AX12" s="81"/>
      <c r="AY12" s="81"/>
      <c r="AZ12" s="81"/>
      <c r="BA12" s="81"/>
      <c r="BB12" s="81"/>
      <c r="BC12" s="81"/>
      <c r="BD12" s="61" t="str">
        <f t="shared" ref="BD12:BD22" si="2">IF(OR(AT12="",AY12=""),"",IF(ISERROR(ROUND(AVERAGE(AT12,AY12),0)),"",ROUND(AVERAGE(AT12,AY12),0)))</f>
        <v/>
      </c>
      <c r="BE12" s="61"/>
      <c r="BF12" s="61"/>
      <c r="BG12" s="61"/>
      <c r="BH12" s="61"/>
      <c r="BI12" s="58" t="str">
        <f t="shared" ref="BI12:BI22" si="3">IF(OR(AT12="",AY12="",BD12=""),"",IF(BD12&gt;=75,"PASSED","FAILED"))</f>
        <v/>
      </c>
      <c r="BJ12" s="59"/>
      <c r="BK12" s="59"/>
      <c r="BL12" s="59"/>
      <c r="BM12" s="59"/>
      <c r="BN12" s="59"/>
      <c r="BO12" s="102"/>
    </row>
    <row r="13" spans="1:67" ht="20.100000000000001" customHeight="1" x14ac:dyDescent="0.3">
      <c r="A13" s="97"/>
      <c r="B13" s="65"/>
      <c r="C13" s="65"/>
      <c r="D13" s="65"/>
      <c r="E13" s="65"/>
      <c r="F13" s="65"/>
      <c r="G13" s="65"/>
      <c r="H13" s="66"/>
      <c r="I13" s="74"/>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6"/>
      <c r="AT13" s="81"/>
      <c r="AU13" s="81"/>
      <c r="AV13" s="81"/>
      <c r="AW13" s="81"/>
      <c r="AX13" s="81"/>
      <c r="AY13" s="81"/>
      <c r="AZ13" s="81"/>
      <c r="BA13" s="81"/>
      <c r="BB13" s="81"/>
      <c r="BC13" s="81"/>
      <c r="BD13" s="61" t="str">
        <f t="shared" si="2"/>
        <v/>
      </c>
      <c r="BE13" s="61"/>
      <c r="BF13" s="61"/>
      <c r="BG13" s="61"/>
      <c r="BH13" s="61"/>
      <c r="BI13" s="58" t="str">
        <f t="shared" si="3"/>
        <v/>
      </c>
      <c r="BJ13" s="59"/>
      <c r="BK13" s="59"/>
      <c r="BL13" s="59"/>
      <c r="BM13" s="59"/>
      <c r="BN13" s="59"/>
      <c r="BO13" s="102"/>
    </row>
    <row r="14" spans="1:67" ht="20.100000000000001" customHeight="1" x14ac:dyDescent="0.3">
      <c r="A14" s="97"/>
      <c r="B14" s="65"/>
      <c r="C14" s="65"/>
      <c r="D14" s="65"/>
      <c r="E14" s="65"/>
      <c r="F14" s="65"/>
      <c r="G14" s="65"/>
      <c r="H14" s="66"/>
      <c r="I14" s="74"/>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6"/>
      <c r="AT14" s="81"/>
      <c r="AU14" s="81"/>
      <c r="AV14" s="81"/>
      <c r="AW14" s="81"/>
      <c r="AX14" s="81"/>
      <c r="AY14" s="81"/>
      <c r="AZ14" s="81"/>
      <c r="BA14" s="81"/>
      <c r="BB14" s="81"/>
      <c r="BC14" s="81"/>
      <c r="BD14" s="61" t="str">
        <f t="shared" si="2"/>
        <v/>
      </c>
      <c r="BE14" s="61"/>
      <c r="BF14" s="61"/>
      <c r="BG14" s="61"/>
      <c r="BH14" s="61"/>
      <c r="BI14" s="58" t="str">
        <f t="shared" si="3"/>
        <v/>
      </c>
      <c r="BJ14" s="59"/>
      <c r="BK14" s="59"/>
      <c r="BL14" s="59"/>
      <c r="BM14" s="59"/>
      <c r="BN14" s="59"/>
      <c r="BO14" s="102"/>
    </row>
    <row r="15" spans="1:67" ht="20.100000000000001" customHeight="1" x14ac:dyDescent="0.3">
      <c r="A15" s="97"/>
      <c r="B15" s="65"/>
      <c r="C15" s="65"/>
      <c r="D15" s="65"/>
      <c r="E15" s="65"/>
      <c r="F15" s="65"/>
      <c r="G15" s="65"/>
      <c r="H15" s="66"/>
      <c r="I15" s="74"/>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AT15" s="124"/>
      <c r="AU15" s="124"/>
      <c r="AV15" s="124"/>
      <c r="AW15" s="124"/>
      <c r="AX15" s="124"/>
      <c r="AY15" s="124"/>
      <c r="AZ15" s="124"/>
      <c r="BA15" s="124"/>
      <c r="BB15" s="124"/>
      <c r="BC15" s="124"/>
      <c r="BD15" s="61" t="str">
        <f t="shared" si="2"/>
        <v/>
      </c>
      <c r="BE15" s="61"/>
      <c r="BF15" s="61"/>
      <c r="BG15" s="61"/>
      <c r="BH15" s="61"/>
      <c r="BI15" s="58" t="str">
        <f t="shared" si="3"/>
        <v/>
      </c>
      <c r="BJ15" s="59"/>
      <c r="BK15" s="59"/>
      <c r="BL15" s="59"/>
      <c r="BM15" s="59"/>
      <c r="BN15" s="59"/>
      <c r="BO15" s="102"/>
    </row>
    <row r="16" spans="1:67" ht="20.100000000000001" customHeight="1" x14ac:dyDescent="0.3">
      <c r="A16" s="97"/>
      <c r="B16" s="65"/>
      <c r="C16" s="65"/>
      <c r="D16" s="65"/>
      <c r="E16" s="65"/>
      <c r="F16" s="65"/>
      <c r="G16" s="65"/>
      <c r="H16" s="66"/>
      <c r="I16" s="74"/>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6"/>
      <c r="AT16" s="64"/>
      <c r="AU16" s="65"/>
      <c r="AV16" s="65"/>
      <c r="AW16" s="65"/>
      <c r="AX16" s="66"/>
      <c r="AY16" s="64"/>
      <c r="AZ16" s="65"/>
      <c r="BA16" s="65"/>
      <c r="BB16" s="65"/>
      <c r="BC16" s="66"/>
      <c r="BD16" s="61" t="str">
        <f t="shared" si="2"/>
        <v/>
      </c>
      <c r="BE16" s="61"/>
      <c r="BF16" s="61"/>
      <c r="BG16" s="61"/>
      <c r="BH16" s="61"/>
      <c r="BI16" s="58" t="str">
        <f t="shared" si="3"/>
        <v/>
      </c>
      <c r="BJ16" s="59"/>
      <c r="BK16" s="59"/>
      <c r="BL16" s="59"/>
      <c r="BM16" s="59"/>
      <c r="BN16" s="59"/>
      <c r="BO16" s="102"/>
    </row>
    <row r="17" spans="1:67" ht="20.100000000000001" customHeight="1" x14ac:dyDescent="0.3">
      <c r="A17" s="97"/>
      <c r="B17" s="65"/>
      <c r="C17" s="65"/>
      <c r="D17" s="65"/>
      <c r="E17" s="65"/>
      <c r="F17" s="65"/>
      <c r="G17" s="65"/>
      <c r="H17" s="66"/>
      <c r="I17" s="74"/>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6"/>
      <c r="AT17" s="64"/>
      <c r="AU17" s="65"/>
      <c r="AV17" s="65"/>
      <c r="AW17" s="65"/>
      <c r="AX17" s="66"/>
      <c r="AY17" s="64"/>
      <c r="AZ17" s="65"/>
      <c r="BA17" s="65"/>
      <c r="BB17" s="65"/>
      <c r="BC17" s="66"/>
      <c r="BD17" s="61" t="str">
        <f t="shared" si="2"/>
        <v/>
      </c>
      <c r="BE17" s="61"/>
      <c r="BF17" s="61"/>
      <c r="BG17" s="61"/>
      <c r="BH17" s="61"/>
      <c r="BI17" s="58" t="str">
        <f t="shared" si="3"/>
        <v/>
      </c>
      <c r="BJ17" s="59"/>
      <c r="BK17" s="59"/>
      <c r="BL17" s="59"/>
      <c r="BM17" s="59"/>
      <c r="BN17" s="59"/>
      <c r="BO17" s="102"/>
    </row>
    <row r="18" spans="1:67" ht="20.100000000000001" customHeight="1" x14ac:dyDescent="0.3">
      <c r="A18" s="97"/>
      <c r="B18" s="65"/>
      <c r="C18" s="65"/>
      <c r="D18" s="65"/>
      <c r="E18" s="65"/>
      <c r="F18" s="65"/>
      <c r="G18" s="65"/>
      <c r="H18" s="66"/>
      <c r="I18" s="74"/>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6"/>
      <c r="AT18" s="64"/>
      <c r="AU18" s="65"/>
      <c r="AV18" s="65"/>
      <c r="AW18" s="65"/>
      <c r="AX18" s="66"/>
      <c r="AY18" s="64"/>
      <c r="AZ18" s="65"/>
      <c r="BA18" s="65"/>
      <c r="BB18" s="65"/>
      <c r="BC18" s="66"/>
      <c r="BD18" s="61" t="str">
        <f t="shared" si="2"/>
        <v/>
      </c>
      <c r="BE18" s="61"/>
      <c r="BF18" s="61"/>
      <c r="BG18" s="61"/>
      <c r="BH18" s="61"/>
      <c r="BI18" s="58" t="str">
        <f t="shared" si="3"/>
        <v/>
      </c>
      <c r="BJ18" s="59"/>
      <c r="BK18" s="59"/>
      <c r="BL18" s="59"/>
      <c r="BM18" s="59"/>
      <c r="BN18" s="59"/>
      <c r="BO18" s="102"/>
    </row>
    <row r="19" spans="1:67" ht="20.100000000000001" customHeight="1" x14ac:dyDescent="0.3">
      <c r="A19" s="97"/>
      <c r="B19" s="65"/>
      <c r="C19" s="65"/>
      <c r="D19" s="65"/>
      <c r="E19" s="65"/>
      <c r="F19" s="65"/>
      <c r="G19" s="65"/>
      <c r="H19" s="66"/>
      <c r="I19" s="74"/>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6"/>
      <c r="AT19" s="64"/>
      <c r="AU19" s="65"/>
      <c r="AV19" s="65"/>
      <c r="AW19" s="65"/>
      <c r="AX19" s="66"/>
      <c r="AY19" s="64"/>
      <c r="AZ19" s="65"/>
      <c r="BA19" s="65"/>
      <c r="BB19" s="65"/>
      <c r="BC19" s="66"/>
      <c r="BD19" s="61" t="str">
        <f t="shared" si="2"/>
        <v/>
      </c>
      <c r="BE19" s="61"/>
      <c r="BF19" s="61"/>
      <c r="BG19" s="61"/>
      <c r="BH19" s="61"/>
      <c r="BI19" s="58" t="str">
        <f t="shared" si="3"/>
        <v/>
      </c>
      <c r="BJ19" s="59"/>
      <c r="BK19" s="59"/>
      <c r="BL19" s="59"/>
      <c r="BM19" s="59"/>
      <c r="BN19" s="59"/>
      <c r="BO19" s="102"/>
    </row>
    <row r="20" spans="1:67" ht="20.100000000000001" customHeight="1" x14ac:dyDescent="0.3">
      <c r="A20" s="97"/>
      <c r="B20" s="65"/>
      <c r="C20" s="65"/>
      <c r="D20" s="65"/>
      <c r="E20" s="65"/>
      <c r="F20" s="65"/>
      <c r="G20" s="65"/>
      <c r="H20" s="66"/>
      <c r="I20" s="74"/>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6"/>
      <c r="AT20" s="63"/>
      <c r="AU20" s="63"/>
      <c r="AV20" s="63"/>
      <c r="AW20" s="63"/>
      <c r="AX20" s="63"/>
      <c r="AY20" s="63"/>
      <c r="AZ20" s="63"/>
      <c r="BA20" s="63"/>
      <c r="BB20" s="63"/>
      <c r="BC20" s="63"/>
      <c r="BD20" s="61" t="str">
        <f t="shared" si="2"/>
        <v/>
      </c>
      <c r="BE20" s="61"/>
      <c r="BF20" s="61"/>
      <c r="BG20" s="61"/>
      <c r="BH20" s="61"/>
      <c r="BI20" s="58" t="str">
        <f t="shared" si="3"/>
        <v/>
      </c>
      <c r="BJ20" s="59"/>
      <c r="BK20" s="59"/>
      <c r="BL20" s="59"/>
      <c r="BM20" s="59"/>
      <c r="BN20" s="59"/>
      <c r="BO20" s="102"/>
    </row>
    <row r="21" spans="1:67" ht="20.100000000000001" customHeight="1" x14ac:dyDescent="0.3">
      <c r="A21" s="97"/>
      <c r="B21" s="65"/>
      <c r="C21" s="65"/>
      <c r="D21" s="65"/>
      <c r="E21" s="65"/>
      <c r="F21" s="65"/>
      <c r="G21" s="65"/>
      <c r="H21" s="66"/>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6"/>
      <c r="AT21" s="81"/>
      <c r="AU21" s="81"/>
      <c r="AV21" s="81"/>
      <c r="AW21" s="81"/>
      <c r="AX21" s="81"/>
      <c r="AY21" s="81"/>
      <c r="AZ21" s="81"/>
      <c r="BA21" s="81"/>
      <c r="BB21" s="81"/>
      <c r="BC21" s="81"/>
      <c r="BD21" s="61" t="str">
        <f t="shared" si="2"/>
        <v/>
      </c>
      <c r="BE21" s="61"/>
      <c r="BF21" s="61"/>
      <c r="BG21" s="61"/>
      <c r="BH21" s="61"/>
      <c r="BI21" s="58" t="str">
        <f t="shared" si="3"/>
        <v/>
      </c>
      <c r="BJ21" s="59"/>
      <c r="BK21" s="59"/>
      <c r="BL21" s="59"/>
      <c r="BM21" s="59"/>
      <c r="BN21" s="59"/>
      <c r="BO21" s="102"/>
    </row>
    <row r="22" spans="1:67" ht="20.100000000000001" customHeight="1" x14ac:dyDescent="0.3">
      <c r="A22" s="97"/>
      <c r="B22" s="65"/>
      <c r="C22" s="65"/>
      <c r="D22" s="65"/>
      <c r="E22" s="65"/>
      <c r="F22" s="65"/>
      <c r="G22" s="65"/>
      <c r="H22" s="66"/>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6"/>
      <c r="AT22" s="81"/>
      <c r="AU22" s="81"/>
      <c r="AV22" s="81"/>
      <c r="AW22" s="81"/>
      <c r="AX22" s="81"/>
      <c r="AY22" s="81"/>
      <c r="AZ22" s="81"/>
      <c r="BA22" s="81"/>
      <c r="BB22" s="81"/>
      <c r="BC22" s="81"/>
      <c r="BD22" s="58" t="str">
        <f t="shared" si="2"/>
        <v/>
      </c>
      <c r="BE22" s="59"/>
      <c r="BF22" s="59"/>
      <c r="BG22" s="59"/>
      <c r="BH22" s="60"/>
      <c r="BI22" s="58" t="str">
        <f t="shared" si="3"/>
        <v/>
      </c>
      <c r="BJ22" s="59"/>
      <c r="BK22" s="59"/>
      <c r="BL22" s="59"/>
      <c r="BM22" s="59"/>
      <c r="BN22" s="59"/>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t="str">
        <f>IFERROR(ROUND((SUM(BD11:BD22,BD38:BD41)-SUM(AT38:AT41))/(COUNTA(BD11:BD22)-COUNTBLANK(BD11:BD22)),0),"")</f>
        <v/>
      </c>
      <c r="BE23" s="99"/>
      <c r="BF23" s="99"/>
      <c r="BG23" s="99"/>
      <c r="BH23" s="100"/>
      <c r="BI23" s="98" t="str">
        <f>IF(BD23="","",IF(BD23&gt;=75,"PASSED","FAILED"))</f>
        <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row>
    <row r="26" spans="1:67" ht="3"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row>
    <row r="27" spans="1:67" x14ac:dyDescent="0.3">
      <c r="A27" s="148" t="s">
        <v>80</v>
      </c>
      <c r="B27" s="148"/>
      <c r="C27" s="148"/>
      <c r="D27" s="148"/>
      <c r="E27" s="148"/>
      <c r="F27" s="8"/>
      <c r="G27" s="8"/>
      <c r="H27" s="8"/>
      <c r="I27" s="8"/>
      <c r="J27" s="8"/>
      <c r="K27" s="8"/>
      <c r="L27" s="8"/>
      <c r="M27" s="8"/>
      <c r="N27" s="8"/>
      <c r="O27" s="8"/>
      <c r="P27" s="8"/>
      <c r="Q27" s="8"/>
      <c r="R27" s="8"/>
      <c r="S27" s="8"/>
      <c r="T27" s="8"/>
      <c r="U27" s="8"/>
      <c r="V27" s="148" t="s">
        <v>82</v>
      </c>
      <c r="W27" s="148"/>
      <c r="X27" s="148"/>
      <c r="Y27" s="148"/>
      <c r="Z27" s="148"/>
      <c r="AA27" s="148"/>
      <c r="AB27" s="148"/>
      <c r="AC27" s="148"/>
      <c r="AD27" s="148"/>
      <c r="AE27" s="148"/>
      <c r="AF27" s="11"/>
      <c r="AG27" s="57"/>
      <c r="AH27" s="57"/>
      <c r="AI27" s="57"/>
      <c r="AJ27" s="57"/>
      <c r="AK27" s="57"/>
      <c r="AL27" s="57"/>
      <c r="AM27" s="57"/>
      <c r="AN27" s="57"/>
      <c r="AO27" s="57"/>
      <c r="AP27" s="57"/>
      <c r="AQ27" s="57"/>
      <c r="AR27" s="57"/>
      <c r="AS27" s="57"/>
      <c r="AT27" s="5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56"/>
      <c r="B28" s="56"/>
      <c r="C28" s="56"/>
      <c r="D28" s="56"/>
      <c r="E28" s="56"/>
      <c r="F28" s="56"/>
      <c r="G28" s="56"/>
      <c r="H28" s="56"/>
      <c r="I28" s="56"/>
      <c r="J28" s="56"/>
      <c r="K28" s="56"/>
      <c r="L28" s="56"/>
      <c r="M28" s="56"/>
      <c r="N28" s="56"/>
      <c r="O28" s="56"/>
      <c r="P28" s="56"/>
      <c r="Q28" s="56"/>
      <c r="R28" s="9"/>
      <c r="S28" s="9"/>
      <c r="T28" s="9"/>
      <c r="U28" s="9"/>
      <c r="V28" s="9"/>
      <c r="W28" s="9"/>
      <c r="X28" s="9"/>
      <c r="Y28" s="57"/>
      <c r="Z28" s="57"/>
      <c r="AA28" s="57"/>
      <c r="AB28" s="57"/>
      <c r="AC28" s="57"/>
      <c r="AD28" s="57"/>
      <c r="AE28" s="57"/>
      <c r="AF28" s="57"/>
      <c r="AG28" s="57"/>
      <c r="AH28" s="57"/>
      <c r="AI28" s="57"/>
      <c r="AJ28" s="57"/>
      <c r="AK28" s="57"/>
      <c r="AL28" s="57"/>
      <c r="AM28" s="57"/>
      <c r="AN28" s="57"/>
      <c r="AO28" s="57"/>
      <c r="AP28" s="9"/>
      <c r="AQ28" s="9"/>
      <c r="AR28" s="9"/>
      <c r="AS28" s="9"/>
      <c r="AT28" s="10"/>
      <c r="AU28" s="56"/>
      <c r="AV28" s="56"/>
      <c r="AW28" s="56"/>
      <c r="AX28" s="56"/>
      <c r="AY28" s="56"/>
      <c r="AZ28" s="56"/>
      <c r="BA28" s="56"/>
      <c r="BB28" s="56"/>
      <c r="BC28" s="56"/>
      <c r="BD28" s="56"/>
      <c r="BE28" s="8"/>
      <c r="BF28" s="8"/>
      <c r="BG28" s="8"/>
      <c r="BH28" s="8"/>
      <c r="BI28" s="8"/>
      <c r="BJ28" s="8"/>
      <c r="BK28" s="8"/>
      <c r="BL28" s="8"/>
      <c r="BM28" s="8"/>
      <c r="BN28" s="8"/>
      <c r="BO28" s="8"/>
    </row>
    <row r="29" spans="1:67" x14ac:dyDescent="0.3">
      <c r="A29" s="115"/>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93</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row>
    <row r="32" spans="1:67" x14ac:dyDescent="0.3">
      <c r="A32" s="161" t="s">
        <v>45</v>
      </c>
      <c r="B32" s="161"/>
      <c r="C32" s="161"/>
      <c r="D32" s="161"/>
      <c r="E32" s="161"/>
      <c r="F32" s="161"/>
      <c r="G32" s="83" t="s">
        <v>108</v>
      </c>
      <c r="H32" s="83"/>
      <c r="I32" s="83"/>
      <c r="J32" s="83"/>
      <c r="K32" s="83"/>
      <c r="L32" s="83"/>
      <c r="M32" s="83"/>
      <c r="N32" s="83"/>
      <c r="O32" s="83"/>
      <c r="P32" s="83"/>
      <c r="Q32" s="83"/>
      <c r="R32" s="83"/>
      <c r="S32" s="82"/>
      <c r="T32" s="82"/>
      <c r="U32" s="82"/>
      <c r="V32" s="82"/>
      <c r="W32" s="83" t="s">
        <v>107</v>
      </c>
      <c r="X32" s="83"/>
      <c r="Y32" s="83"/>
      <c r="Z32" s="83"/>
      <c r="AA32" s="83"/>
      <c r="AB32" s="83"/>
      <c r="AC32" s="82"/>
      <c r="AD32" s="82"/>
      <c r="AE32" s="82"/>
      <c r="AF32" s="82"/>
      <c r="AG32" s="3"/>
      <c r="AH32" s="83" t="s">
        <v>34</v>
      </c>
      <c r="AI32" s="83"/>
      <c r="AJ32" s="83"/>
      <c r="AK32" s="83"/>
      <c r="AL32" s="84"/>
      <c r="AM32" s="84"/>
      <c r="AN32" s="84"/>
      <c r="AO32" s="84"/>
      <c r="AP32" s="84"/>
      <c r="AQ32" s="84"/>
      <c r="AR32" s="84"/>
      <c r="AS32" s="84"/>
      <c r="AT32" s="84"/>
      <c r="AU32" s="84"/>
      <c r="AV32" s="84"/>
      <c r="AW32" s="84"/>
      <c r="AX32" s="84"/>
      <c r="AY32" s="84"/>
      <c r="AZ32" s="84"/>
      <c r="BA32" s="84"/>
      <c r="BB32" s="84"/>
      <c r="BC32" s="84"/>
      <c r="BD32" s="84"/>
      <c r="BE32" s="84"/>
      <c r="BF32" s="85" t="s">
        <v>46</v>
      </c>
      <c r="BG32" s="85"/>
      <c r="BH32" s="85"/>
      <c r="BI32" s="85"/>
      <c r="BJ32" s="85"/>
      <c r="BK32" s="86"/>
      <c r="BL32" s="86"/>
      <c r="BM32" s="86"/>
      <c r="BN32" s="86"/>
      <c r="BO32" s="86"/>
    </row>
    <row r="33" spans="1:67" ht="3" customHeight="1" thickBot="1" x14ac:dyDescent="0.3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row>
    <row r="34" spans="1:67" ht="11.25" customHeight="1" x14ac:dyDescent="0.3">
      <c r="A34" s="109" t="s">
        <v>74</v>
      </c>
      <c r="B34" s="110"/>
      <c r="C34" s="110"/>
      <c r="D34" s="110"/>
      <c r="E34" s="110"/>
      <c r="F34" s="110"/>
      <c r="G34" s="110"/>
      <c r="H34" s="111"/>
      <c r="I34" s="154" t="s">
        <v>104</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7"/>
      <c r="B35" s="68"/>
      <c r="C35" s="68"/>
      <c r="D35" s="68"/>
      <c r="E35" s="68"/>
      <c r="F35" s="68"/>
      <c r="G35" s="68"/>
      <c r="H35" s="69"/>
      <c r="I35" s="88"/>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113"/>
      <c r="AU35" s="68"/>
      <c r="AV35" s="68"/>
      <c r="AW35" s="68"/>
      <c r="AX35" s="69"/>
      <c r="AY35" s="68"/>
      <c r="AZ35" s="68"/>
      <c r="BA35" s="68"/>
      <c r="BB35" s="68"/>
      <c r="BC35" s="69"/>
      <c r="BD35" s="106"/>
      <c r="BE35" s="106"/>
      <c r="BF35" s="106"/>
      <c r="BG35" s="106"/>
      <c r="BH35" s="106"/>
      <c r="BI35" s="106"/>
      <c r="BJ35" s="106"/>
      <c r="BK35" s="106"/>
      <c r="BL35" s="106"/>
      <c r="BM35" s="106"/>
      <c r="BN35" s="106"/>
      <c r="BO35" s="108"/>
    </row>
    <row r="36" spans="1:67" ht="11.25" customHeight="1" x14ac:dyDescent="0.3">
      <c r="A36" s="67"/>
      <c r="B36" s="68"/>
      <c r="C36" s="68"/>
      <c r="D36" s="68"/>
      <c r="E36" s="68"/>
      <c r="F36" s="68"/>
      <c r="G36" s="68"/>
      <c r="H36" s="69"/>
      <c r="I36" s="88"/>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113"/>
      <c r="AU36" s="68"/>
      <c r="AV36" s="68"/>
      <c r="AW36" s="68"/>
      <c r="AX36" s="69"/>
      <c r="AY36" s="68"/>
      <c r="AZ36" s="68"/>
      <c r="BA36" s="68"/>
      <c r="BB36" s="68"/>
      <c r="BC36" s="69"/>
      <c r="BD36" s="106"/>
      <c r="BE36" s="106"/>
      <c r="BF36" s="106"/>
      <c r="BG36" s="106"/>
      <c r="BH36" s="106"/>
      <c r="BI36" s="106"/>
      <c r="BJ36" s="106"/>
      <c r="BK36" s="106"/>
      <c r="BL36" s="106"/>
      <c r="BM36" s="106"/>
      <c r="BN36" s="106"/>
      <c r="BO36" s="108"/>
    </row>
    <row r="37" spans="1:67" ht="11.25" customHeight="1" x14ac:dyDescent="0.3">
      <c r="A37" s="70"/>
      <c r="B37" s="71"/>
      <c r="C37" s="71"/>
      <c r="D37" s="71"/>
      <c r="E37" s="71"/>
      <c r="F37" s="71"/>
      <c r="G37" s="71"/>
      <c r="H37" s="72"/>
      <c r="I37" s="91"/>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3"/>
      <c r="AT37" s="114"/>
      <c r="AU37" s="71"/>
      <c r="AV37" s="71"/>
      <c r="AW37" s="71"/>
      <c r="AX37" s="72"/>
      <c r="AY37" s="71"/>
      <c r="AZ37" s="71"/>
      <c r="BA37" s="71"/>
      <c r="BB37" s="71"/>
      <c r="BC37" s="72"/>
      <c r="BD37" s="106"/>
      <c r="BE37" s="106"/>
      <c r="BF37" s="106"/>
      <c r="BG37" s="106"/>
      <c r="BH37" s="106"/>
      <c r="BI37" s="106"/>
      <c r="BJ37" s="106"/>
      <c r="BK37" s="106"/>
      <c r="BL37" s="106"/>
      <c r="BM37" s="106"/>
      <c r="BN37" s="106"/>
      <c r="BO37" s="108"/>
    </row>
    <row r="38" spans="1:67" ht="20.100000000000001" customHeight="1" x14ac:dyDescent="0.3">
      <c r="A38" s="97"/>
      <c r="B38" s="65"/>
      <c r="C38" s="65"/>
      <c r="D38" s="65"/>
      <c r="E38" s="65"/>
      <c r="F38" s="65"/>
      <c r="G38" s="65"/>
      <c r="H38" s="66"/>
      <c r="I38" s="74"/>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81"/>
      <c r="AU38" s="81"/>
      <c r="AV38" s="81"/>
      <c r="AW38" s="81"/>
      <c r="AX38" s="81"/>
      <c r="AY38" s="81"/>
      <c r="AZ38" s="81"/>
      <c r="BA38" s="81"/>
      <c r="BB38" s="81"/>
      <c r="BC38" s="81"/>
      <c r="BD38" s="61" t="str">
        <f t="shared" ref="BD38:BD41" si="4">IF(OR(AT38="",AY38=""),"",IF(ISERROR(ROUND(AVERAGE(AT38,AY38),0)),"",ROUND(AVERAGE(AT38,AY38),0)))</f>
        <v/>
      </c>
      <c r="BE38" s="61"/>
      <c r="BF38" s="61"/>
      <c r="BG38" s="61"/>
      <c r="BH38" s="61"/>
      <c r="BI38" s="61" t="str">
        <f t="shared" ref="BI38:BI41" si="5">IF(OR(AT38="",AY38="",BD38=""),"",IF(BD38&gt;=75,"PASSED","FAILED"))</f>
        <v/>
      </c>
      <c r="BJ38" s="61"/>
      <c r="BK38" s="61"/>
      <c r="BL38" s="61"/>
      <c r="BM38" s="61"/>
      <c r="BN38" s="61"/>
      <c r="BO38" s="62"/>
    </row>
    <row r="39" spans="1:67" ht="20.100000000000001" customHeight="1" x14ac:dyDescent="0.3">
      <c r="A39" s="97"/>
      <c r="B39" s="65"/>
      <c r="C39" s="65"/>
      <c r="D39" s="65"/>
      <c r="E39" s="65"/>
      <c r="F39" s="65"/>
      <c r="G39" s="65"/>
      <c r="H39" s="66"/>
      <c r="I39" s="74"/>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81"/>
      <c r="AU39" s="81"/>
      <c r="AV39" s="81"/>
      <c r="AW39" s="81"/>
      <c r="AX39" s="81"/>
      <c r="AY39" s="81"/>
      <c r="AZ39" s="81"/>
      <c r="BA39" s="81"/>
      <c r="BB39" s="81"/>
      <c r="BC39" s="81"/>
      <c r="BD39" s="61" t="str">
        <f t="shared" si="4"/>
        <v/>
      </c>
      <c r="BE39" s="61"/>
      <c r="BF39" s="61"/>
      <c r="BG39" s="61"/>
      <c r="BH39" s="61"/>
      <c r="BI39" s="61" t="str">
        <f t="shared" si="5"/>
        <v/>
      </c>
      <c r="BJ39" s="61"/>
      <c r="BK39" s="61"/>
      <c r="BL39" s="61"/>
      <c r="BM39" s="61"/>
      <c r="BN39" s="61"/>
      <c r="BO39" s="6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81"/>
      <c r="AU40" s="81"/>
      <c r="AV40" s="81"/>
      <c r="AW40" s="81"/>
      <c r="AX40" s="81"/>
      <c r="AY40" s="81"/>
      <c r="AZ40" s="81"/>
      <c r="BA40" s="81"/>
      <c r="BB40" s="81"/>
      <c r="BC40" s="81"/>
      <c r="BD40" s="61" t="str">
        <f t="shared" si="4"/>
        <v/>
      </c>
      <c r="BE40" s="61"/>
      <c r="BF40" s="61"/>
      <c r="BG40" s="61"/>
      <c r="BH40" s="61"/>
      <c r="BI40" s="61" t="str">
        <f t="shared" si="5"/>
        <v/>
      </c>
      <c r="BJ40" s="61"/>
      <c r="BK40" s="61"/>
      <c r="BL40" s="61"/>
      <c r="BM40" s="61"/>
      <c r="BN40" s="61"/>
      <c r="BO40" s="62"/>
    </row>
    <row r="41" spans="1:67" ht="20.100000000000001" customHeight="1" thickBot="1" x14ac:dyDescent="0.35">
      <c r="A41" s="133"/>
      <c r="B41" s="134"/>
      <c r="C41" s="134"/>
      <c r="D41" s="134"/>
      <c r="E41" s="134"/>
      <c r="F41" s="134"/>
      <c r="G41" s="134"/>
      <c r="H41" s="135"/>
      <c r="I41" s="140"/>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2"/>
      <c r="AT41" s="77"/>
      <c r="AU41" s="77"/>
      <c r="AV41" s="77"/>
      <c r="AW41" s="77"/>
      <c r="AX41" s="77"/>
      <c r="AY41" s="77"/>
      <c r="AZ41" s="77"/>
      <c r="BA41" s="77"/>
      <c r="BB41" s="77"/>
      <c r="BC41" s="77"/>
      <c r="BD41" s="78" t="str">
        <f t="shared" si="4"/>
        <v/>
      </c>
      <c r="BE41" s="78"/>
      <c r="BF41" s="78"/>
      <c r="BG41" s="78"/>
      <c r="BH41" s="78"/>
      <c r="BI41" s="78" t="str">
        <f t="shared" si="5"/>
        <v/>
      </c>
      <c r="BJ41" s="78"/>
      <c r="BK41" s="78"/>
      <c r="BL41" s="78"/>
      <c r="BM41" s="78"/>
      <c r="BN41" s="78"/>
      <c r="BO41" s="79"/>
    </row>
    <row r="42" spans="1:67" ht="3" customHeight="1" x14ac:dyDescent="0.3">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row>
    <row r="43" spans="1:67" ht="22.35" customHeight="1" x14ac:dyDescent="0.3">
      <c r="A43" s="136" t="s">
        <v>44</v>
      </c>
      <c r="B43" s="136"/>
      <c r="C43" s="136"/>
      <c r="D43" s="136"/>
      <c r="E43" s="136"/>
      <c r="F43" s="136"/>
      <c r="G43" s="136"/>
      <c r="H43" s="136"/>
      <c r="I43" s="136"/>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3" t="s">
        <v>8</v>
      </c>
      <c r="AU43" s="103"/>
      <c r="AV43" s="103"/>
      <c r="AW43" s="103"/>
      <c r="AX43" s="103"/>
      <c r="AY43" s="139"/>
      <c r="AZ43" s="139"/>
      <c r="BA43" s="139"/>
      <c r="BB43" s="139"/>
      <c r="BC43" s="139"/>
      <c r="BD43" s="139"/>
      <c r="BE43" s="139"/>
      <c r="BF43" s="139"/>
      <c r="BG43" s="139"/>
      <c r="BH43" s="139"/>
      <c r="BI43" s="139"/>
      <c r="BJ43" s="139"/>
      <c r="BK43" s="139"/>
      <c r="BL43" s="139"/>
      <c r="BM43" s="139"/>
      <c r="BN43" s="139"/>
      <c r="BO43" s="139"/>
    </row>
    <row r="44" spans="1:67" ht="12"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ht="12"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row>
    <row r="46" spans="1:67" x14ac:dyDescent="0.3">
      <c r="A46" s="85" t="s">
        <v>34</v>
      </c>
      <c r="B46" s="85"/>
      <c r="C46" s="85"/>
      <c r="D46" s="85"/>
      <c r="E46" s="87"/>
      <c r="F46" s="87"/>
      <c r="G46" s="87"/>
      <c r="H46" s="87"/>
      <c r="I46" s="87"/>
      <c r="J46" s="87"/>
      <c r="K46" s="87"/>
      <c r="L46" s="87"/>
      <c r="M46" s="87"/>
      <c r="N46" s="87"/>
      <c r="O46" s="87"/>
      <c r="P46" s="87"/>
      <c r="Q46" s="87"/>
      <c r="R46" s="87"/>
      <c r="S46" s="87"/>
      <c r="T46" s="87"/>
      <c r="U46" s="87"/>
      <c r="V46" s="87"/>
      <c r="W46" s="87"/>
      <c r="X46" s="87"/>
      <c r="Y46" s="87"/>
      <c r="Z46" s="87"/>
      <c r="AA46" s="87"/>
      <c r="AB46" s="125" t="s">
        <v>46</v>
      </c>
      <c r="AC46" s="125"/>
      <c r="AD46" s="125"/>
      <c r="AE46" s="125"/>
      <c r="AF46" s="87"/>
      <c r="AG46" s="87"/>
      <c r="AH46" s="87"/>
      <c r="AI46" s="87"/>
      <c r="AJ46" s="87"/>
      <c r="AK46" s="87"/>
      <c r="AL46" s="87"/>
      <c r="AM46" s="85" t="s">
        <v>35</v>
      </c>
      <c r="AN46" s="85"/>
      <c r="AO46" s="85"/>
      <c r="AP46" s="85"/>
      <c r="AQ46" s="85"/>
      <c r="AR46" s="85"/>
      <c r="AS46" s="87"/>
      <c r="AT46" s="87"/>
      <c r="AU46" s="87"/>
      <c r="AV46" s="87"/>
      <c r="AW46" s="87"/>
      <c r="AX46" s="87"/>
      <c r="AY46" s="85" t="s">
        <v>3</v>
      </c>
      <c r="AZ46" s="85"/>
      <c r="BA46" s="87"/>
      <c r="BB46" s="87"/>
      <c r="BC46" s="87"/>
      <c r="BD46" s="87"/>
      <c r="BE46" s="87"/>
      <c r="BF46" s="87"/>
      <c r="BG46" s="87"/>
      <c r="BH46" s="125" t="s">
        <v>4</v>
      </c>
      <c r="BI46" s="125"/>
      <c r="BJ46" s="125"/>
      <c r="BK46" s="87"/>
      <c r="BL46" s="87"/>
      <c r="BM46" s="87"/>
      <c r="BN46" s="87"/>
      <c r="BO46" s="87"/>
    </row>
    <row r="47" spans="1:67" ht="3" customHeight="1" x14ac:dyDescent="0.3">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row>
    <row r="48" spans="1:67" x14ac:dyDescent="0.3">
      <c r="A48" s="85" t="s">
        <v>37</v>
      </c>
      <c r="B48" s="85"/>
      <c r="C48" s="85"/>
      <c r="D48" s="85"/>
      <c r="E48" s="85"/>
      <c r="F48" s="85"/>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125" t="s">
        <v>5</v>
      </c>
      <c r="AO48" s="125"/>
      <c r="AP48" s="125"/>
      <c r="AQ48" s="125"/>
      <c r="AR48" s="125"/>
      <c r="AS48" s="87"/>
      <c r="AT48" s="87"/>
      <c r="AU48" s="87"/>
      <c r="AV48" s="87"/>
      <c r="AW48" s="87"/>
      <c r="AX48" s="87"/>
      <c r="AY48" s="87"/>
      <c r="AZ48" s="87"/>
      <c r="BA48" s="87"/>
      <c r="BB48" s="87"/>
      <c r="BC48" s="87"/>
      <c r="BD48" s="87"/>
      <c r="BE48" s="87"/>
      <c r="BF48" s="87"/>
      <c r="BG48" s="87"/>
      <c r="BH48" s="87"/>
      <c r="BI48" s="87"/>
      <c r="BJ48" s="87"/>
      <c r="BK48" s="87"/>
      <c r="BL48" s="87"/>
      <c r="BM48" s="87"/>
      <c r="BN48" s="87"/>
      <c r="BO48" s="87"/>
    </row>
    <row r="49" spans="1:67" ht="3" customHeight="1" thickBot="1" x14ac:dyDescent="0.3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row>
    <row r="50" spans="1:67" ht="11.25" customHeight="1" x14ac:dyDescent="0.3">
      <c r="A50" s="67" t="s">
        <v>74</v>
      </c>
      <c r="B50" s="68"/>
      <c r="C50" s="68"/>
      <c r="D50" s="68"/>
      <c r="E50" s="68"/>
      <c r="F50" s="68"/>
      <c r="G50" s="68"/>
      <c r="H50" s="69"/>
      <c r="I50" s="88" t="s">
        <v>104</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5" t="s">
        <v>1</v>
      </c>
      <c r="AU50" s="95"/>
      <c r="AV50" s="95"/>
      <c r="AW50" s="95"/>
      <c r="AX50" s="95"/>
      <c r="AY50" s="95"/>
      <c r="AZ50" s="95"/>
      <c r="BA50" s="95"/>
      <c r="BB50" s="95"/>
      <c r="BC50" s="95"/>
      <c r="BD50" s="118" t="s">
        <v>41</v>
      </c>
      <c r="BE50" s="118"/>
      <c r="BF50" s="118"/>
      <c r="BG50" s="118"/>
      <c r="BH50" s="118"/>
      <c r="BI50" s="118" t="s">
        <v>2</v>
      </c>
      <c r="BJ50" s="118"/>
      <c r="BK50" s="118"/>
      <c r="BL50" s="118"/>
      <c r="BM50" s="118"/>
      <c r="BN50" s="118"/>
      <c r="BO50" s="130"/>
    </row>
    <row r="51" spans="1:67" ht="11.25" customHeight="1" x14ac:dyDescent="0.3">
      <c r="A51" s="67"/>
      <c r="B51" s="68"/>
      <c r="C51" s="68"/>
      <c r="D51" s="68"/>
      <c r="E51" s="68"/>
      <c r="F51" s="68"/>
      <c r="G51" s="68"/>
      <c r="H51" s="69"/>
      <c r="I51" s="88"/>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6"/>
      <c r="AU51" s="96"/>
      <c r="AV51" s="96"/>
      <c r="AW51" s="96"/>
      <c r="AX51" s="96"/>
      <c r="AY51" s="96"/>
      <c r="AZ51" s="96"/>
      <c r="BA51" s="96"/>
      <c r="BB51" s="96"/>
      <c r="BC51" s="96"/>
      <c r="BD51" s="106"/>
      <c r="BE51" s="106"/>
      <c r="BF51" s="106"/>
      <c r="BG51" s="106"/>
      <c r="BH51" s="106"/>
      <c r="BI51" s="106"/>
      <c r="BJ51" s="106"/>
      <c r="BK51" s="106"/>
      <c r="BL51" s="106"/>
      <c r="BM51" s="106"/>
      <c r="BN51" s="106"/>
      <c r="BO51" s="108"/>
    </row>
    <row r="52" spans="1:67" ht="11.25" customHeight="1" x14ac:dyDescent="0.3">
      <c r="A52" s="67"/>
      <c r="B52" s="68"/>
      <c r="C52" s="68"/>
      <c r="D52" s="68"/>
      <c r="E52" s="68"/>
      <c r="F52" s="68"/>
      <c r="G52" s="68"/>
      <c r="H52" s="69"/>
      <c r="I52" s="88"/>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6" t="str">
        <f>IF(BK46="","",IF(BK46="1ST","1ST",IF(BK46="2ND","3RD")))</f>
        <v/>
      </c>
      <c r="AU52" s="96"/>
      <c r="AV52" s="96"/>
      <c r="AW52" s="96"/>
      <c r="AX52" s="96"/>
      <c r="AY52" s="96" t="str">
        <f>IF(BK46="","",IF(BK46="1ST","2ND",IF(BK46="2ND","4TH")))</f>
        <v/>
      </c>
      <c r="AZ52" s="96"/>
      <c r="BA52" s="96"/>
      <c r="BB52" s="96"/>
      <c r="BC52" s="96"/>
      <c r="BD52" s="106"/>
      <c r="BE52" s="106"/>
      <c r="BF52" s="106"/>
      <c r="BG52" s="106"/>
      <c r="BH52" s="106"/>
      <c r="BI52" s="106"/>
      <c r="BJ52" s="106"/>
      <c r="BK52" s="106"/>
      <c r="BL52" s="106"/>
      <c r="BM52" s="106"/>
      <c r="BN52" s="106"/>
      <c r="BO52" s="108"/>
    </row>
    <row r="53" spans="1:67" ht="11.25" customHeight="1" x14ac:dyDescent="0.3">
      <c r="A53" s="70"/>
      <c r="B53" s="71"/>
      <c r="C53" s="71"/>
      <c r="D53" s="71"/>
      <c r="E53" s="71"/>
      <c r="F53" s="71"/>
      <c r="G53" s="71"/>
      <c r="H53" s="72"/>
      <c r="I53" s="91"/>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3"/>
      <c r="AT53" s="96"/>
      <c r="AU53" s="96"/>
      <c r="AV53" s="96"/>
      <c r="AW53" s="96"/>
      <c r="AX53" s="96"/>
      <c r="AY53" s="96"/>
      <c r="AZ53" s="96"/>
      <c r="BA53" s="96"/>
      <c r="BB53" s="96"/>
      <c r="BC53" s="96"/>
      <c r="BD53" s="106"/>
      <c r="BE53" s="106"/>
      <c r="BF53" s="106"/>
      <c r="BG53" s="106"/>
      <c r="BH53" s="106"/>
      <c r="BI53" s="106"/>
      <c r="BJ53" s="106"/>
      <c r="BK53" s="106"/>
      <c r="BL53" s="106"/>
      <c r="BM53" s="106"/>
      <c r="BN53" s="106"/>
      <c r="BO53" s="108"/>
    </row>
    <row r="54" spans="1:67" ht="20.100000000000001" customHeight="1" x14ac:dyDescent="0.3">
      <c r="A54" s="97"/>
      <c r="B54" s="65"/>
      <c r="C54" s="65"/>
      <c r="D54" s="65"/>
      <c r="E54" s="65"/>
      <c r="F54" s="65"/>
      <c r="G54" s="65"/>
      <c r="H54" s="66"/>
      <c r="I54" s="74"/>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6"/>
      <c r="AT54" s="64"/>
      <c r="AU54" s="65"/>
      <c r="AV54" s="65"/>
      <c r="AW54" s="65"/>
      <c r="AX54" s="66"/>
      <c r="AY54" s="64"/>
      <c r="AZ54" s="65"/>
      <c r="BA54" s="65"/>
      <c r="BB54" s="65"/>
      <c r="BC54" s="66"/>
      <c r="BD54" s="61" t="str">
        <f t="shared" ref="BD54" si="6">IF(OR(AT54="",AY54=""),"",IF(ISERROR(ROUND(AVERAGE(AT54,AY54),0)),"",ROUND(AVERAGE(AT54,AY54),0)))</f>
        <v/>
      </c>
      <c r="BE54" s="61"/>
      <c r="BF54" s="61"/>
      <c r="BG54" s="61"/>
      <c r="BH54" s="61"/>
      <c r="BI54" s="61" t="str">
        <f t="shared" ref="BI54" si="7">IF(OR(AT54="",AY54="",BD54=""),"",IF(BD54&gt;=75,"PASSED","FAILED"))</f>
        <v/>
      </c>
      <c r="BJ54" s="61"/>
      <c r="BK54" s="61"/>
      <c r="BL54" s="61"/>
      <c r="BM54" s="61"/>
      <c r="BN54" s="61"/>
      <c r="BO54" s="62"/>
    </row>
    <row r="55" spans="1:67" ht="20.100000000000001" customHeight="1" x14ac:dyDescent="0.3">
      <c r="A55" s="97"/>
      <c r="B55" s="65"/>
      <c r="C55" s="65"/>
      <c r="D55" s="65"/>
      <c r="E55" s="65"/>
      <c r="F55" s="65"/>
      <c r="G55" s="65"/>
      <c r="H55" s="66"/>
      <c r="I55" s="74"/>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64"/>
      <c r="AU55" s="65"/>
      <c r="AV55" s="65"/>
      <c r="AW55" s="65"/>
      <c r="AX55" s="66"/>
      <c r="AY55" s="64"/>
      <c r="AZ55" s="65"/>
      <c r="BA55" s="65"/>
      <c r="BB55" s="65"/>
      <c r="BC55" s="66"/>
      <c r="BD55" s="58" t="str">
        <f t="shared" ref="BD55:BD65" si="8">IF(OR(AT55="",AY55=""),"",IF(ISERROR(ROUND(AVERAGE(AT55,AY55),0)),"",ROUND(AVERAGE(AT55,AY55),0)))</f>
        <v/>
      </c>
      <c r="BE55" s="59"/>
      <c r="BF55" s="59"/>
      <c r="BG55" s="59"/>
      <c r="BH55" s="60"/>
      <c r="BI55" s="58" t="str">
        <f t="shared" ref="BI55:BI65" si="9">IF(OR(AT55="",AY55="",BD55=""),"",IF(BD55&gt;=75,"PASSED","FAILED"))</f>
        <v/>
      </c>
      <c r="BJ55" s="59"/>
      <c r="BK55" s="59"/>
      <c r="BL55" s="59"/>
      <c r="BM55" s="59"/>
      <c r="BN55" s="59"/>
      <c r="BO55" s="102"/>
    </row>
    <row r="56" spans="1:67" ht="20.100000000000001" customHeight="1" x14ac:dyDescent="0.3">
      <c r="A56" s="97"/>
      <c r="B56" s="65"/>
      <c r="C56" s="65"/>
      <c r="D56" s="65"/>
      <c r="E56" s="65"/>
      <c r="F56" s="65"/>
      <c r="G56" s="65"/>
      <c r="H56" s="66"/>
      <c r="I56" s="74"/>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64"/>
      <c r="AU56" s="65"/>
      <c r="AV56" s="65"/>
      <c r="AW56" s="65"/>
      <c r="AX56" s="66"/>
      <c r="AY56" s="64"/>
      <c r="AZ56" s="65"/>
      <c r="BA56" s="65"/>
      <c r="BB56" s="65"/>
      <c r="BC56" s="66"/>
      <c r="BD56" s="58" t="str">
        <f t="shared" si="8"/>
        <v/>
      </c>
      <c r="BE56" s="59"/>
      <c r="BF56" s="59"/>
      <c r="BG56" s="59"/>
      <c r="BH56" s="60"/>
      <c r="BI56" s="58" t="str">
        <f t="shared" si="9"/>
        <v/>
      </c>
      <c r="BJ56" s="59"/>
      <c r="BK56" s="59"/>
      <c r="BL56" s="59"/>
      <c r="BM56" s="59"/>
      <c r="BN56" s="59"/>
      <c r="BO56" s="102"/>
    </row>
    <row r="57" spans="1:67" ht="20.100000000000001" customHeight="1" x14ac:dyDescent="0.3">
      <c r="A57" s="97"/>
      <c r="B57" s="65"/>
      <c r="C57" s="65"/>
      <c r="D57" s="65"/>
      <c r="E57" s="65"/>
      <c r="F57" s="65"/>
      <c r="G57" s="65"/>
      <c r="H57" s="66"/>
      <c r="I57" s="74"/>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6"/>
      <c r="AT57" s="64"/>
      <c r="AU57" s="65"/>
      <c r="AV57" s="65"/>
      <c r="AW57" s="65"/>
      <c r="AX57" s="66"/>
      <c r="AY57" s="64"/>
      <c r="AZ57" s="65"/>
      <c r="BA57" s="65"/>
      <c r="BB57" s="65"/>
      <c r="BC57" s="66"/>
      <c r="BD57" s="58" t="str">
        <f t="shared" si="8"/>
        <v/>
      </c>
      <c r="BE57" s="59"/>
      <c r="BF57" s="59"/>
      <c r="BG57" s="59"/>
      <c r="BH57" s="60"/>
      <c r="BI57" s="58" t="str">
        <f t="shared" si="9"/>
        <v/>
      </c>
      <c r="BJ57" s="59"/>
      <c r="BK57" s="59"/>
      <c r="BL57" s="59"/>
      <c r="BM57" s="59"/>
      <c r="BN57" s="59"/>
      <c r="BO57" s="102"/>
    </row>
    <row r="58" spans="1:67" ht="20.100000000000001"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64"/>
      <c r="AU58" s="65"/>
      <c r="AV58" s="65"/>
      <c r="AW58" s="65"/>
      <c r="AX58" s="66"/>
      <c r="AY58" s="64"/>
      <c r="AZ58" s="65"/>
      <c r="BA58" s="65"/>
      <c r="BB58" s="65"/>
      <c r="BC58" s="66"/>
      <c r="BD58" s="58" t="str">
        <f t="shared" si="8"/>
        <v/>
      </c>
      <c r="BE58" s="59"/>
      <c r="BF58" s="59"/>
      <c r="BG58" s="59"/>
      <c r="BH58" s="60"/>
      <c r="BI58" s="58" t="str">
        <f t="shared" si="9"/>
        <v/>
      </c>
      <c r="BJ58" s="59"/>
      <c r="BK58" s="59"/>
      <c r="BL58" s="59"/>
      <c r="BM58" s="59"/>
      <c r="BN58" s="59"/>
      <c r="BO58" s="102"/>
    </row>
    <row r="59" spans="1:67" ht="20.100000000000001"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si="8"/>
        <v/>
      </c>
      <c r="BE59" s="59"/>
      <c r="BF59" s="59"/>
      <c r="BG59" s="59"/>
      <c r="BH59" s="60"/>
      <c r="BI59" s="58" t="str">
        <f t="shared" si="9"/>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64"/>
      <c r="AU60" s="65"/>
      <c r="AV60" s="65"/>
      <c r="AW60" s="65"/>
      <c r="AX60" s="66"/>
      <c r="AY60" s="64"/>
      <c r="AZ60" s="65"/>
      <c r="BA60" s="65"/>
      <c r="BB60" s="65"/>
      <c r="BC60" s="66"/>
      <c r="BD60" s="58" t="str">
        <f t="shared" si="8"/>
        <v/>
      </c>
      <c r="BE60" s="59"/>
      <c r="BF60" s="59"/>
      <c r="BG60" s="59"/>
      <c r="BH60" s="60"/>
      <c r="BI60" s="58" t="str">
        <f t="shared" si="9"/>
        <v/>
      </c>
      <c r="BJ60" s="59"/>
      <c r="BK60" s="59"/>
      <c r="BL60" s="59"/>
      <c r="BM60" s="59"/>
      <c r="BN60" s="59"/>
      <c r="BO60" s="102"/>
    </row>
    <row r="61" spans="1:67" ht="20.100000000000001" customHeight="1" x14ac:dyDescent="0.3">
      <c r="A61" s="97"/>
      <c r="B61" s="65"/>
      <c r="C61" s="65"/>
      <c r="D61" s="65"/>
      <c r="E61" s="65"/>
      <c r="F61" s="65"/>
      <c r="G61" s="65"/>
      <c r="H61" s="66"/>
      <c r="I61" s="74"/>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6"/>
      <c r="AT61" s="64"/>
      <c r="AU61" s="65"/>
      <c r="AV61" s="65"/>
      <c r="AW61" s="65"/>
      <c r="AX61" s="66"/>
      <c r="AY61" s="64"/>
      <c r="AZ61" s="65"/>
      <c r="BA61" s="65"/>
      <c r="BB61" s="65"/>
      <c r="BC61" s="66"/>
      <c r="BD61" s="58" t="str">
        <f t="shared" si="8"/>
        <v/>
      </c>
      <c r="BE61" s="59"/>
      <c r="BF61" s="59"/>
      <c r="BG61" s="59"/>
      <c r="BH61" s="60"/>
      <c r="BI61" s="58" t="str">
        <f t="shared" si="9"/>
        <v/>
      </c>
      <c r="BJ61" s="59"/>
      <c r="BK61" s="59"/>
      <c r="BL61" s="59"/>
      <c r="BM61" s="59"/>
      <c r="BN61" s="59"/>
      <c r="BO61" s="102"/>
    </row>
    <row r="62" spans="1:67" ht="20.100000000000001" customHeight="1" x14ac:dyDescent="0.3">
      <c r="A62" s="97"/>
      <c r="B62" s="65"/>
      <c r="C62" s="65"/>
      <c r="D62" s="65"/>
      <c r="E62" s="65"/>
      <c r="F62" s="65"/>
      <c r="G62" s="65"/>
      <c r="H62" s="66"/>
      <c r="I62" s="74"/>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6"/>
      <c r="AT62" s="64"/>
      <c r="AU62" s="65"/>
      <c r="AV62" s="65"/>
      <c r="AW62" s="65"/>
      <c r="AX62" s="66"/>
      <c r="AY62" s="64"/>
      <c r="AZ62" s="65"/>
      <c r="BA62" s="65"/>
      <c r="BB62" s="65"/>
      <c r="BC62" s="66"/>
      <c r="BD62" s="58" t="str">
        <f t="shared" si="8"/>
        <v/>
      </c>
      <c r="BE62" s="59"/>
      <c r="BF62" s="59"/>
      <c r="BG62" s="59"/>
      <c r="BH62" s="60"/>
      <c r="BI62" s="58" t="str">
        <f t="shared" si="9"/>
        <v/>
      </c>
      <c r="BJ62" s="59"/>
      <c r="BK62" s="59"/>
      <c r="BL62" s="59"/>
      <c r="BM62" s="59"/>
      <c r="BN62" s="59"/>
      <c r="BO62" s="102"/>
    </row>
    <row r="63" spans="1:67" ht="20.100000000000001" customHeight="1" x14ac:dyDescent="0.3">
      <c r="A63" s="97"/>
      <c r="B63" s="65"/>
      <c r="C63" s="65"/>
      <c r="D63" s="65"/>
      <c r="E63" s="65"/>
      <c r="F63" s="65"/>
      <c r="G63" s="65"/>
      <c r="H63" s="66"/>
      <c r="I63" s="74"/>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6"/>
      <c r="AT63" s="64"/>
      <c r="AU63" s="65"/>
      <c r="AV63" s="65"/>
      <c r="AW63" s="65"/>
      <c r="AX63" s="66"/>
      <c r="AY63" s="64"/>
      <c r="AZ63" s="65"/>
      <c r="BA63" s="65"/>
      <c r="BB63" s="65"/>
      <c r="BC63" s="66"/>
      <c r="BD63" s="58" t="str">
        <f t="shared" si="8"/>
        <v/>
      </c>
      <c r="BE63" s="59"/>
      <c r="BF63" s="59"/>
      <c r="BG63" s="59"/>
      <c r="BH63" s="60"/>
      <c r="BI63" s="58" t="str">
        <f t="shared" si="9"/>
        <v/>
      </c>
      <c r="BJ63" s="59"/>
      <c r="BK63" s="59"/>
      <c r="BL63" s="59"/>
      <c r="BM63" s="59"/>
      <c r="BN63" s="59"/>
      <c r="BO63" s="102"/>
    </row>
    <row r="64" spans="1:67" ht="20.100000000000001" customHeight="1" x14ac:dyDescent="0.3">
      <c r="A64" s="97"/>
      <c r="B64" s="65"/>
      <c r="C64" s="65"/>
      <c r="D64" s="65"/>
      <c r="E64" s="65"/>
      <c r="F64" s="65"/>
      <c r="G64" s="65"/>
      <c r="H64" s="66"/>
      <c r="I64" s="74"/>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6"/>
      <c r="AT64" s="64"/>
      <c r="AU64" s="65"/>
      <c r="AV64" s="65"/>
      <c r="AW64" s="65"/>
      <c r="AX64" s="66"/>
      <c r="AY64" s="64"/>
      <c r="AZ64" s="65"/>
      <c r="BA64" s="65"/>
      <c r="BB64" s="65"/>
      <c r="BC64" s="66"/>
      <c r="BD64" s="58" t="str">
        <f t="shared" si="8"/>
        <v/>
      </c>
      <c r="BE64" s="59"/>
      <c r="BF64" s="59"/>
      <c r="BG64" s="59"/>
      <c r="BH64" s="60"/>
      <c r="BI64" s="58" t="str">
        <f t="shared" si="9"/>
        <v/>
      </c>
      <c r="BJ64" s="59"/>
      <c r="BK64" s="59"/>
      <c r="BL64" s="59"/>
      <c r="BM64" s="59"/>
      <c r="BN64" s="59"/>
      <c r="BO64" s="102"/>
    </row>
    <row r="65" spans="1:67" ht="20.100000000000001" customHeight="1" x14ac:dyDescent="0.3">
      <c r="A65" s="97"/>
      <c r="B65" s="65"/>
      <c r="C65" s="65"/>
      <c r="D65" s="65"/>
      <c r="E65" s="65"/>
      <c r="F65" s="65"/>
      <c r="G65" s="65"/>
      <c r="H65" s="66"/>
      <c r="I65" s="74"/>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6"/>
      <c r="AT65" s="64"/>
      <c r="AU65" s="65"/>
      <c r="AV65" s="65"/>
      <c r="AW65" s="65"/>
      <c r="AX65" s="66"/>
      <c r="AY65" s="64"/>
      <c r="AZ65" s="65"/>
      <c r="BA65" s="65"/>
      <c r="BB65" s="65"/>
      <c r="BC65" s="66"/>
      <c r="BD65" s="58" t="str">
        <f t="shared" si="8"/>
        <v/>
      </c>
      <c r="BE65" s="59"/>
      <c r="BF65" s="59"/>
      <c r="BG65" s="59"/>
      <c r="BH65" s="60"/>
      <c r="BI65" s="58" t="str">
        <f t="shared" si="9"/>
        <v/>
      </c>
      <c r="BJ65" s="59"/>
      <c r="BK65" s="59"/>
      <c r="BL65" s="59"/>
      <c r="BM65" s="59"/>
      <c r="BN65" s="59"/>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t="str">
        <f>IFERROR(ROUND((SUM(BD54:BD65,BD81:BD84)-SUM(AT81:AT84))/(COUNTA(BD54:BD65)-COUNTBLANK(BD54:BD65)),0),"")</f>
        <v/>
      </c>
      <c r="BE66" s="99"/>
      <c r="BF66" s="99"/>
      <c r="BG66" s="99"/>
      <c r="BH66" s="100"/>
      <c r="BI66" s="98" t="str">
        <f>IF(BD66="","",IF(BD66&gt;=75,"PASSED","FAILED"))</f>
        <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row>
    <row r="69" spans="1:67" ht="3" customHeight="1" x14ac:dyDescent="0.3">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row>
    <row r="70" spans="1:67" ht="15.9" customHeight="1" x14ac:dyDescent="0.3">
      <c r="A70" s="148" t="s">
        <v>80</v>
      </c>
      <c r="B70" s="148"/>
      <c r="C70" s="148"/>
      <c r="D70" s="148"/>
      <c r="E70" s="148"/>
      <c r="F70" s="8"/>
      <c r="G70" s="8"/>
      <c r="H70" s="8"/>
      <c r="I70" s="8"/>
      <c r="J70" s="8"/>
      <c r="K70" s="8"/>
      <c r="L70" s="8"/>
      <c r="M70" s="8"/>
      <c r="N70" s="8"/>
      <c r="O70" s="8"/>
      <c r="P70" s="8"/>
      <c r="Q70" s="8"/>
      <c r="R70" s="8"/>
      <c r="S70" s="8"/>
      <c r="T70" s="8"/>
      <c r="U70" s="8"/>
      <c r="V70" s="148" t="s">
        <v>82</v>
      </c>
      <c r="W70" s="148"/>
      <c r="X70" s="148"/>
      <c r="Y70" s="148"/>
      <c r="Z70" s="148"/>
      <c r="AA70" s="148"/>
      <c r="AB70" s="148"/>
      <c r="AC70" s="148"/>
      <c r="AD70" s="148"/>
      <c r="AE70" s="148"/>
      <c r="AF70" s="11"/>
      <c r="AG70" s="57"/>
      <c r="AH70" s="57"/>
      <c r="AI70" s="57"/>
      <c r="AJ70" s="57"/>
      <c r="AK70" s="57"/>
      <c r="AL70" s="57"/>
      <c r="AM70" s="57"/>
      <c r="AN70" s="57"/>
      <c r="AO70" s="57"/>
      <c r="AP70" s="57"/>
      <c r="AQ70" s="57"/>
      <c r="AR70" s="57"/>
      <c r="AS70" s="57"/>
      <c r="AT70" s="5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56"/>
      <c r="B71" s="56"/>
      <c r="C71" s="56"/>
      <c r="D71" s="56"/>
      <c r="E71" s="56"/>
      <c r="F71" s="56"/>
      <c r="G71" s="56"/>
      <c r="H71" s="56"/>
      <c r="I71" s="56"/>
      <c r="J71" s="56"/>
      <c r="K71" s="56"/>
      <c r="L71" s="56"/>
      <c r="M71" s="56"/>
      <c r="N71" s="56"/>
      <c r="O71" s="56"/>
      <c r="P71" s="56"/>
      <c r="Q71" s="56"/>
      <c r="R71" s="9"/>
      <c r="S71" s="9"/>
      <c r="T71" s="9"/>
      <c r="U71" s="9"/>
      <c r="V71" s="9"/>
      <c r="W71" s="9"/>
      <c r="X71" s="9"/>
      <c r="Y71" s="57"/>
      <c r="Z71" s="57"/>
      <c r="AA71" s="57"/>
      <c r="AB71" s="57"/>
      <c r="AC71" s="57"/>
      <c r="AD71" s="57"/>
      <c r="AE71" s="57"/>
      <c r="AF71" s="57"/>
      <c r="AG71" s="57"/>
      <c r="AH71" s="57"/>
      <c r="AI71" s="57"/>
      <c r="AJ71" s="57"/>
      <c r="AK71" s="57"/>
      <c r="AL71" s="57"/>
      <c r="AM71" s="57"/>
      <c r="AN71" s="57"/>
      <c r="AO71" s="57"/>
      <c r="AP71" s="9"/>
      <c r="AQ71" s="9"/>
      <c r="AR71" s="9"/>
      <c r="AS71" s="9"/>
      <c r="AT71" s="10"/>
      <c r="AU71" s="56"/>
      <c r="AV71" s="56"/>
      <c r="AW71" s="56"/>
      <c r="AX71" s="56"/>
      <c r="AY71" s="56"/>
      <c r="AZ71" s="56"/>
      <c r="BA71" s="56"/>
      <c r="BB71" s="56"/>
      <c r="BC71" s="56"/>
      <c r="BD71" s="56"/>
      <c r="BE71" s="8"/>
      <c r="BF71" s="8"/>
      <c r="BG71" s="8"/>
      <c r="BH71" s="8"/>
      <c r="BI71" s="8"/>
      <c r="BJ71" s="8"/>
      <c r="BK71" s="8"/>
      <c r="BL71" s="8"/>
      <c r="BM71" s="8"/>
      <c r="BN71" s="8"/>
      <c r="BO71" s="8"/>
    </row>
    <row r="72" spans="1:67" ht="15.9" customHeight="1" x14ac:dyDescent="0.3">
      <c r="A72" s="115"/>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93</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67" x14ac:dyDescent="0.3">
      <c r="A75" s="161" t="s">
        <v>45</v>
      </c>
      <c r="B75" s="161"/>
      <c r="C75" s="161"/>
      <c r="D75" s="161"/>
      <c r="E75" s="161"/>
      <c r="F75" s="161"/>
      <c r="G75" s="83" t="s">
        <v>108</v>
      </c>
      <c r="H75" s="83"/>
      <c r="I75" s="83"/>
      <c r="J75" s="83"/>
      <c r="K75" s="83"/>
      <c r="L75" s="83"/>
      <c r="M75" s="83"/>
      <c r="N75" s="83"/>
      <c r="O75" s="83"/>
      <c r="P75" s="83"/>
      <c r="Q75" s="83"/>
      <c r="R75" s="83"/>
      <c r="S75" s="82"/>
      <c r="T75" s="82"/>
      <c r="U75" s="82"/>
      <c r="V75" s="82"/>
      <c r="W75" s="83" t="s">
        <v>107</v>
      </c>
      <c r="X75" s="83"/>
      <c r="Y75" s="83"/>
      <c r="Z75" s="83"/>
      <c r="AA75" s="83"/>
      <c r="AB75" s="83"/>
      <c r="AC75" s="82"/>
      <c r="AD75" s="82"/>
      <c r="AE75" s="82"/>
      <c r="AF75" s="82"/>
      <c r="AG75" s="3"/>
      <c r="AH75" s="83" t="s">
        <v>34</v>
      </c>
      <c r="AI75" s="83"/>
      <c r="AJ75" s="83"/>
      <c r="AK75" s="83"/>
      <c r="AL75" s="84"/>
      <c r="AM75" s="84"/>
      <c r="AN75" s="84"/>
      <c r="AO75" s="84"/>
      <c r="AP75" s="84"/>
      <c r="AQ75" s="84"/>
      <c r="AR75" s="84"/>
      <c r="AS75" s="84"/>
      <c r="AT75" s="84"/>
      <c r="AU75" s="84"/>
      <c r="AV75" s="84"/>
      <c r="AW75" s="84"/>
      <c r="AX75" s="84"/>
      <c r="AY75" s="84"/>
      <c r="AZ75" s="84"/>
      <c r="BA75" s="84"/>
      <c r="BB75" s="84"/>
      <c r="BC75" s="84"/>
      <c r="BD75" s="84"/>
      <c r="BE75" s="84"/>
      <c r="BF75" s="85" t="s">
        <v>46</v>
      </c>
      <c r="BG75" s="85"/>
      <c r="BH75" s="85"/>
      <c r="BI75" s="85"/>
      <c r="BJ75" s="85"/>
      <c r="BK75" s="86"/>
      <c r="BL75" s="86"/>
      <c r="BM75" s="86"/>
      <c r="BN75" s="86"/>
      <c r="BO75" s="86"/>
    </row>
    <row r="76" spans="1:67" ht="3" customHeight="1" thickBot="1" x14ac:dyDescent="0.3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row>
    <row r="77" spans="1:67" ht="11.25" customHeight="1" x14ac:dyDescent="0.3">
      <c r="A77" s="109" t="s">
        <v>74</v>
      </c>
      <c r="B77" s="110"/>
      <c r="C77" s="110"/>
      <c r="D77" s="110"/>
      <c r="E77" s="110"/>
      <c r="F77" s="110"/>
      <c r="G77" s="110"/>
      <c r="H77" s="111"/>
      <c r="I77" s="154" t="s">
        <v>104</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7"/>
      <c r="B78" s="68"/>
      <c r="C78" s="68"/>
      <c r="D78" s="68"/>
      <c r="E78" s="68"/>
      <c r="F78" s="68"/>
      <c r="G78" s="68"/>
      <c r="H78" s="69"/>
      <c r="I78" s="88"/>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113"/>
      <c r="AU78" s="68"/>
      <c r="AV78" s="68"/>
      <c r="AW78" s="68"/>
      <c r="AX78" s="69"/>
      <c r="AY78" s="68"/>
      <c r="AZ78" s="68"/>
      <c r="BA78" s="68"/>
      <c r="BB78" s="68"/>
      <c r="BC78" s="69"/>
      <c r="BD78" s="106"/>
      <c r="BE78" s="106"/>
      <c r="BF78" s="106"/>
      <c r="BG78" s="106"/>
      <c r="BH78" s="106"/>
      <c r="BI78" s="106"/>
      <c r="BJ78" s="106"/>
      <c r="BK78" s="106"/>
      <c r="BL78" s="106"/>
      <c r="BM78" s="106"/>
      <c r="BN78" s="106"/>
      <c r="BO78" s="108"/>
    </row>
    <row r="79" spans="1:67" ht="11.25" customHeight="1" x14ac:dyDescent="0.3">
      <c r="A79" s="67"/>
      <c r="B79" s="68"/>
      <c r="C79" s="68"/>
      <c r="D79" s="68"/>
      <c r="E79" s="68"/>
      <c r="F79" s="68"/>
      <c r="G79" s="68"/>
      <c r="H79" s="69"/>
      <c r="I79" s="88"/>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113"/>
      <c r="AU79" s="68"/>
      <c r="AV79" s="68"/>
      <c r="AW79" s="68"/>
      <c r="AX79" s="69"/>
      <c r="AY79" s="68"/>
      <c r="AZ79" s="68"/>
      <c r="BA79" s="68"/>
      <c r="BB79" s="68"/>
      <c r="BC79" s="69"/>
      <c r="BD79" s="106"/>
      <c r="BE79" s="106"/>
      <c r="BF79" s="106"/>
      <c r="BG79" s="106"/>
      <c r="BH79" s="106"/>
      <c r="BI79" s="106"/>
      <c r="BJ79" s="106"/>
      <c r="BK79" s="106"/>
      <c r="BL79" s="106"/>
      <c r="BM79" s="106"/>
      <c r="BN79" s="106"/>
      <c r="BO79" s="108"/>
    </row>
    <row r="80" spans="1:67" ht="11.25" customHeight="1" x14ac:dyDescent="0.3">
      <c r="A80" s="70"/>
      <c r="B80" s="71"/>
      <c r="C80" s="71"/>
      <c r="D80" s="71"/>
      <c r="E80" s="71"/>
      <c r="F80" s="71"/>
      <c r="G80" s="71"/>
      <c r="H80" s="72"/>
      <c r="I80" s="91"/>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3"/>
      <c r="AT80" s="114"/>
      <c r="AU80" s="71"/>
      <c r="AV80" s="71"/>
      <c r="AW80" s="71"/>
      <c r="AX80" s="72"/>
      <c r="AY80" s="71"/>
      <c r="AZ80" s="71"/>
      <c r="BA80" s="71"/>
      <c r="BB80" s="71"/>
      <c r="BC80" s="72"/>
      <c r="BD80" s="106"/>
      <c r="BE80" s="106"/>
      <c r="BF80" s="106"/>
      <c r="BG80" s="106"/>
      <c r="BH80" s="106"/>
      <c r="BI80" s="106"/>
      <c r="BJ80" s="106"/>
      <c r="BK80" s="106"/>
      <c r="BL80" s="106"/>
      <c r="BM80" s="106"/>
      <c r="BN80" s="106"/>
      <c r="BO80" s="108"/>
    </row>
    <row r="81" spans="1:67" ht="20.100000000000001" customHeight="1" x14ac:dyDescent="0.3">
      <c r="A81" s="97"/>
      <c r="B81" s="65"/>
      <c r="C81" s="65"/>
      <c r="D81" s="65"/>
      <c r="E81" s="65"/>
      <c r="F81" s="65"/>
      <c r="G81" s="65"/>
      <c r="H81" s="66"/>
      <c r="I81" s="74"/>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81"/>
      <c r="AU81" s="81"/>
      <c r="AV81" s="81"/>
      <c r="AW81" s="81"/>
      <c r="AX81" s="81"/>
      <c r="AY81" s="81"/>
      <c r="AZ81" s="81"/>
      <c r="BA81" s="81"/>
      <c r="BB81" s="81"/>
      <c r="BC81" s="81"/>
      <c r="BD81" s="61" t="str">
        <f t="shared" ref="BD81:BD84" si="10">IF(OR(AT81="",AY81=""),"",IF(ISERROR(ROUND(AVERAGE(AT81,AY81),0)),"",ROUND(AVERAGE(AT81,AY81),0)))</f>
        <v/>
      </c>
      <c r="BE81" s="61"/>
      <c r="BF81" s="61"/>
      <c r="BG81" s="61"/>
      <c r="BH81" s="61"/>
      <c r="BI81" s="61" t="str">
        <f t="shared" ref="BI81:BI84" si="11">IF(OR(AT81="",AY81="",BD81=""),"",IF(BD81&gt;=75,"PASSED","FAILED"))</f>
        <v/>
      </c>
      <c r="BJ81" s="61"/>
      <c r="BK81" s="61"/>
      <c r="BL81" s="61"/>
      <c r="BM81" s="61"/>
      <c r="BN81" s="61"/>
      <c r="BO81" s="62"/>
    </row>
    <row r="82" spans="1:67" ht="20.100000000000001" customHeight="1" x14ac:dyDescent="0.3">
      <c r="A82" s="97"/>
      <c r="B82" s="65"/>
      <c r="C82" s="65"/>
      <c r="D82" s="65"/>
      <c r="E82" s="65"/>
      <c r="F82" s="65"/>
      <c r="G82" s="65"/>
      <c r="H82" s="66"/>
      <c r="I82" s="74"/>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81"/>
      <c r="AU82" s="81"/>
      <c r="AV82" s="81"/>
      <c r="AW82" s="81"/>
      <c r="AX82" s="81"/>
      <c r="AY82" s="81"/>
      <c r="AZ82" s="81"/>
      <c r="BA82" s="81"/>
      <c r="BB82" s="81"/>
      <c r="BC82" s="81"/>
      <c r="BD82" s="61" t="str">
        <f t="shared" si="10"/>
        <v/>
      </c>
      <c r="BE82" s="61"/>
      <c r="BF82" s="61"/>
      <c r="BG82" s="61"/>
      <c r="BH82" s="61"/>
      <c r="BI82" s="61" t="str">
        <f t="shared" si="11"/>
        <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81"/>
      <c r="AU83" s="81"/>
      <c r="AV83" s="81"/>
      <c r="AW83" s="81"/>
      <c r="AX83" s="81"/>
      <c r="AY83" s="81"/>
      <c r="AZ83" s="81"/>
      <c r="BA83" s="81"/>
      <c r="BB83" s="81"/>
      <c r="BC83" s="81"/>
      <c r="BD83" s="61" t="str">
        <f t="shared" si="10"/>
        <v/>
      </c>
      <c r="BE83" s="61"/>
      <c r="BF83" s="61"/>
      <c r="BG83" s="61"/>
      <c r="BH83" s="61"/>
      <c r="BI83" s="61" t="str">
        <f t="shared" si="11"/>
        <v/>
      </c>
      <c r="BJ83" s="61"/>
      <c r="BK83" s="61"/>
      <c r="BL83" s="61"/>
      <c r="BM83" s="61"/>
      <c r="BN83" s="61"/>
      <c r="BO83" s="62"/>
    </row>
    <row r="84" spans="1:67" ht="20.100000000000001" customHeight="1" thickBot="1" x14ac:dyDescent="0.35">
      <c r="A84" s="133"/>
      <c r="B84" s="134"/>
      <c r="C84" s="134"/>
      <c r="D84" s="134"/>
      <c r="E84" s="134"/>
      <c r="F84" s="134"/>
      <c r="G84" s="134"/>
      <c r="H84" s="135"/>
      <c r="I84" s="140"/>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2"/>
      <c r="AT84" s="77"/>
      <c r="AU84" s="77"/>
      <c r="AV84" s="77"/>
      <c r="AW84" s="77"/>
      <c r="AX84" s="77"/>
      <c r="AY84" s="77"/>
      <c r="AZ84" s="77"/>
      <c r="BA84" s="77"/>
      <c r="BB84" s="77"/>
      <c r="BC84" s="77"/>
      <c r="BD84" s="78" t="str">
        <f t="shared" si="10"/>
        <v/>
      </c>
      <c r="BE84" s="78"/>
      <c r="BF84" s="78"/>
      <c r="BG84" s="78"/>
      <c r="BH84" s="78"/>
      <c r="BI84" s="78" t="str">
        <f t="shared" si="11"/>
        <v/>
      </c>
      <c r="BJ84" s="78"/>
      <c r="BK84" s="78"/>
      <c r="BL84" s="78"/>
      <c r="BM84" s="78"/>
      <c r="BN84" s="78"/>
      <c r="BO84" s="79"/>
    </row>
    <row r="85" spans="1:67" ht="3" customHeight="1" x14ac:dyDescent="0.3">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c r="BM85" s="171"/>
      <c r="BN85" s="171"/>
      <c r="BO85" s="171"/>
    </row>
    <row r="86" spans="1:67" ht="22.35" customHeight="1" x14ac:dyDescent="0.3">
      <c r="A86" s="136" t="s">
        <v>44</v>
      </c>
      <c r="B86" s="136"/>
      <c r="C86" s="136"/>
      <c r="D86" s="136"/>
      <c r="E86" s="136"/>
      <c r="F86" s="136"/>
      <c r="G86" s="136"/>
      <c r="H86" s="136"/>
      <c r="I86" s="136"/>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3" t="s">
        <v>8</v>
      </c>
      <c r="AU86" s="103"/>
      <c r="AV86" s="103"/>
      <c r="AW86" s="103"/>
      <c r="AX86" s="103"/>
      <c r="AY86" s="139"/>
      <c r="AZ86" s="139"/>
      <c r="BA86" s="139"/>
      <c r="BB86" s="139"/>
      <c r="BC86" s="139"/>
      <c r="BD86" s="139"/>
      <c r="BE86" s="139"/>
      <c r="BF86" s="139"/>
      <c r="BG86" s="139"/>
      <c r="BH86" s="139"/>
      <c r="BI86" s="139"/>
      <c r="BJ86" s="139"/>
      <c r="BK86" s="139"/>
      <c r="BL86" s="139"/>
      <c r="BM86" s="139"/>
      <c r="BN86" s="139"/>
      <c r="BO86" s="139"/>
    </row>
    <row r="87" spans="1:67" ht="3" customHeight="1" x14ac:dyDescent="0.3">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c r="AC87" s="172"/>
      <c r="AD87" s="172"/>
      <c r="AE87" s="172"/>
      <c r="AF87" s="172"/>
      <c r="AG87" s="172"/>
      <c r="AH87" s="172"/>
      <c r="AI87" s="172"/>
      <c r="AJ87" s="172"/>
      <c r="AK87" s="172"/>
      <c r="AL87" s="172"/>
      <c r="AM87" s="172"/>
      <c r="AN87" s="172"/>
      <c r="AO87" s="172"/>
      <c r="AP87" s="172"/>
      <c r="AQ87" s="172"/>
      <c r="AR87" s="172"/>
      <c r="AS87" s="172"/>
      <c r="AT87" s="172"/>
      <c r="AU87" s="172"/>
      <c r="AV87" s="172"/>
      <c r="AW87" s="172"/>
      <c r="AX87" s="172"/>
      <c r="AY87" s="172"/>
      <c r="AZ87" s="172"/>
      <c r="BA87" s="172"/>
      <c r="BB87" s="172"/>
      <c r="BC87" s="172"/>
      <c r="BD87" s="172"/>
      <c r="BE87" s="172"/>
      <c r="BF87" s="172"/>
      <c r="BG87" s="172"/>
      <c r="BH87" s="172"/>
      <c r="BI87" s="172"/>
      <c r="BJ87" s="172"/>
      <c r="BK87" s="172"/>
      <c r="BL87" s="172"/>
      <c r="BM87" s="172"/>
      <c r="BN87" s="172"/>
      <c r="BO87" s="172"/>
    </row>
    <row r="88" spans="1:67" ht="9.75" customHeight="1" x14ac:dyDescent="0.3">
      <c r="A88" s="12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c r="AB88" s="178"/>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row>
    <row r="89" spans="1:67" s="19" customFormat="1" ht="3" customHeight="1" x14ac:dyDescent="0.3">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3"/>
      <c r="BJ89" s="143"/>
      <c r="BK89" s="143"/>
      <c r="BL89" s="143"/>
      <c r="BM89" s="143"/>
      <c r="BN89" s="143"/>
      <c r="BO89" s="143"/>
    </row>
    <row r="90" spans="1:67" x14ac:dyDescent="0.3">
      <c r="A90" s="161" t="s">
        <v>79</v>
      </c>
      <c r="B90" s="161"/>
      <c r="C90" s="161"/>
      <c r="D90" s="161"/>
      <c r="E90" s="161"/>
      <c r="F90" s="161"/>
      <c r="G90" s="161"/>
      <c r="H90" s="161"/>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7" t="str">
        <f>IF(OR(FRONT!BD43="",FRONT!BD86="",BD23="",BD66=""),"",IFERROR(ROUND(AVERAGE(FRONT!BD43,FRONT!BD86,BD23,BD66),0),""))</f>
        <v/>
      </c>
      <c r="BL90" s="177"/>
      <c r="BM90" s="177"/>
      <c r="BN90" s="177"/>
      <c r="BO90" s="177"/>
    </row>
    <row r="91" spans="1:67" x14ac:dyDescent="0.3">
      <c r="A91" s="161" t="s">
        <v>106</v>
      </c>
      <c r="B91" s="161"/>
      <c r="C91" s="161"/>
      <c r="D91" s="161"/>
      <c r="E91" s="161"/>
      <c r="F91" s="161"/>
      <c r="G91" s="161"/>
      <c r="H91" s="161"/>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25" t="s">
        <v>50</v>
      </c>
      <c r="AU91" s="125"/>
      <c r="AV91" s="125"/>
      <c r="AW91" s="125"/>
      <c r="AX91" s="125"/>
      <c r="AY91" s="125"/>
      <c r="AZ91" s="125"/>
      <c r="BA91" s="125"/>
      <c r="BB91" s="125"/>
      <c r="BC91" s="125"/>
      <c r="BD91" s="125"/>
      <c r="BE91" s="125"/>
      <c r="BF91" s="125"/>
      <c r="BG91" s="125"/>
      <c r="BH91" s="125"/>
      <c r="BI91" s="104"/>
      <c r="BJ91" s="104"/>
      <c r="BK91" s="104"/>
      <c r="BL91" s="104"/>
      <c r="BM91" s="104"/>
      <c r="BN91" s="104"/>
      <c r="BO91" s="104"/>
    </row>
    <row r="92" spans="1:67" ht="3"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3" t="s">
        <v>127</v>
      </c>
      <c r="B94" s="173"/>
      <c r="C94" s="173"/>
      <c r="D94" s="173"/>
      <c r="E94" s="173"/>
      <c r="F94" s="173"/>
      <c r="G94" s="173"/>
      <c r="H94" s="173"/>
      <c r="I94" s="173"/>
      <c r="J94" s="173"/>
      <c r="K94" s="173"/>
      <c r="L94" s="173"/>
      <c r="M94" s="173"/>
      <c r="N94" s="173"/>
      <c r="O94" s="173"/>
      <c r="P94" s="173"/>
      <c r="Q94" s="3"/>
      <c r="R94" s="3"/>
      <c r="S94" s="3"/>
      <c r="T94" s="175"/>
      <c r="U94" s="175"/>
      <c r="V94" s="175"/>
      <c r="W94" s="175"/>
      <c r="X94" s="175"/>
      <c r="Y94" s="175"/>
      <c r="Z94" s="175"/>
      <c r="AA94" s="175"/>
      <c r="AB94" s="175"/>
      <c r="AC94" s="175"/>
      <c r="AD94" s="175"/>
      <c r="AE94" s="3"/>
      <c r="AF94" s="3"/>
      <c r="AG94" s="14"/>
      <c r="AH94" s="10"/>
      <c r="AI94" s="10"/>
      <c r="AJ94" s="166"/>
      <c r="AK94" s="167"/>
      <c r="AL94" s="167"/>
      <c r="AM94" s="167"/>
      <c r="AN94" s="167"/>
      <c r="AO94" s="167"/>
      <c r="AP94" s="167"/>
      <c r="AQ94" s="167"/>
      <c r="AR94" s="167"/>
      <c r="AS94" s="167"/>
      <c r="AT94" s="167"/>
      <c r="AU94" s="167"/>
      <c r="AV94" s="167"/>
      <c r="AW94" s="167"/>
      <c r="AX94" s="167"/>
      <c r="AY94" s="167"/>
      <c r="AZ94" s="167"/>
      <c r="BA94" s="167"/>
      <c r="BB94" s="167"/>
      <c r="BC94" s="167"/>
      <c r="BD94" s="167"/>
      <c r="BE94" s="167"/>
      <c r="BF94" s="167"/>
      <c r="BG94" s="167"/>
      <c r="BH94" s="167"/>
      <c r="BI94" s="167"/>
      <c r="BJ94" s="167"/>
      <c r="BK94" s="167"/>
      <c r="BL94" s="167"/>
      <c r="BM94" s="167"/>
      <c r="BN94" s="167"/>
      <c r="BO94" s="167"/>
    </row>
    <row r="95" spans="1:67" ht="11.25" customHeight="1" x14ac:dyDescent="0.3">
      <c r="A95" s="173"/>
      <c r="B95" s="173"/>
      <c r="C95" s="173"/>
      <c r="D95" s="173"/>
      <c r="E95" s="173"/>
      <c r="F95" s="173"/>
      <c r="G95" s="173"/>
      <c r="H95" s="173"/>
      <c r="I95" s="173"/>
      <c r="J95" s="173"/>
      <c r="K95" s="173"/>
      <c r="L95" s="173"/>
      <c r="M95" s="173"/>
      <c r="N95" s="173"/>
      <c r="O95" s="173"/>
      <c r="P95" s="173"/>
      <c r="Q95" s="3"/>
      <c r="R95" s="3"/>
      <c r="S95" s="3"/>
      <c r="T95" s="175"/>
      <c r="U95" s="175"/>
      <c r="V95" s="175"/>
      <c r="W95" s="175"/>
      <c r="X95" s="175"/>
      <c r="Y95" s="175"/>
      <c r="Z95" s="175"/>
      <c r="AA95" s="175"/>
      <c r="AB95" s="175"/>
      <c r="AC95" s="175"/>
      <c r="AD95" s="175"/>
      <c r="AE95" s="3"/>
      <c r="AF95" s="3"/>
      <c r="AG95" s="20"/>
      <c r="AH95" s="20"/>
      <c r="AI95" s="20"/>
      <c r="AJ95" s="166"/>
      <c r="AK95" s="167"/>
      <c r="AL95" s="167"/>
      <c r="AM95" s="167"/>
      <c r="AN95" s="167"/>
      <c r="AO95" s="167"/>
      <c r="AP95" s="167"/>
      <c r="AQ95" s="167"/>
      <c r="AR95" s="167"/>
      <c r="AS95" s="167"/>
      <c r="AT95" s="167"/>
      <c r="AU95" s="167"/>
      <c r="AV95" s="167"/>
      <c r="AW95" s="167"/>
      <c r="AX95" s="167"/>
      <c r="AY95" s="167"/>
      <c r="AZ95" s="167"/>
      <c r="BA95" s="167"/>
      <c r="BB95" s="167"/>
      <c r="BC95" s="167"/>
      <c r="BD95" s="167"/>
      <c r="BE95" s="167"/>
      <c r="BF95" s="167"/>
      <c r="BG95" s="167"/>
      <c r="BH95" s="167"/>
      <c r="BI95" s="167"/>
      <c r="BJ95" s="167"/>
      <c r="BK95" s="167"/>
      <c r="BL95" s="167"/>
      <c r="BM95" s="167"/>
      <c r="BN95" s="167"/>
      <c r="BO95" s="167"/>
    </row>
    <row r="96" spans="1:67" ht="11.25" customHeight="1" x14ac:dyDescent="0.3">
      <c r="A96" s="174"/>
      <c r="B96" s="174"/>
      <c r="C96" s="174"/>
      <c r="D96" s="174"/>
      <c r="E96" s="174"/>
      <c r="F96" s="174"/>
      <c r="G96" s="174"/>
      <c r="H96" s="174"/>
      <c r="I96" s="174"/>
      <c r="J96" s="174"/>
      <c r="K96" s="174"/>
      <c r="L96" s="174"/>
      <c r="M96" s="174"/>
      <c r="N96" s="174"/>
      <c r="O96" s="174"/>
      <c r="P96" s="174"/>
      <c r="Q96" s="3"/>
      <c r="R96" s="3"/>
      <c r="S96" s="3"/>
      <c r="T96" s="176"/>
      <c r="U96" s="176"/>
      <c r="V96" s="176"/>
      <c r="W96" s="176"/>
      <c r="X96" s="176"/>
      <c r="Y96" s="176"/>
      <c r="Z96" s="176"/>
      <c r="AA96" s="176"/>
      <c r="AB96" s="176"/>
      <c r="AC96" s="176"/>
      <c r="AD96" s="176"/>
      <c r="AE96" s="3"/>
      <c r="AF96" s="3"/>
      <c r="AG96" s="20"/>
      <c r="AH96" s="20"/>
      <c r="AI96" s="20"/>
      <c r="AJ96" s="166"/>
      <c r="AK96" s="167"/>
      <c r="AL96" s="167"/>
      <c r="AM96" s="167"/>
      <c r="AN96" s="167"/>
      <c r="AO96" s="167"/>
      <c r="AP96" s="167"/>
      <c r="AQ96" s="167"/>
      <c r="AR96" s="167"/>
      <c r="AS96" s="167"/>
      <c r="AT96" s="167"/>
      <c r="AU96" s="167"/>
      <c r="AV96" s="167"/>
      <c r="AW96" s="167"/>
      <c r="AX96" s="167"/>
      <c r="AY96" s="167"/>
      <c r="AZ96" s="167"/>
      <c r="BA96" s="167"/>
      <c r="BB96" s="167"/>
      <c r="BC96" s="167"/>
      <c r="BD96" s="167"/>
      <c r="BE96" s="167"/>
      <c r="BF96" s="167"/>
      <c r="BG96" s="167"/>
      <c r="BH96" s="167"/>
      <c r="BI96" s="167"/>
      <c r="BJ96" s="167"/>
      <c r="BK96" s="167"/>
      <c r="BL96" s="167"/>
      <c r="BM96" s="167"/>
      <c r="BN96" s="167"/>
      <c r="BO96" s="167"/>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6"/>
      <c r="AK97" s="167"/>
      <c r="AL97" s="167"/>
      <c r="AM97" s="167"/>
      <c r="AN97" s="167"/>
      <c r="AO97" s="167"/>
      <c r="AP97" s="167"/>
      <c r="AQ97" s="167"/>
      <c r="AR97" s="167"/>
      <c r="AS97" s="167"/>
      <c r="AT97" s="167"/>
      <c r="AU97" s="167"/>
      <c r="AV97" s="167"/>
      <c r="AW97" s="167"/>
      <c r="AX97" s="167"/>
      <c r="AY97" s="167"/>
      <c r="AZ97" s="167"/>
      <c r="BA97" s="167"/>
      <c r="BB97" s="167"/>
      <c r="BC97" s="167"/>
      <c r="BD97" s="167"/>
      <c r="BE97" s="167"/>
      <c r="BF97" s="167"/>
      <c r="BG97" s="167"/>
      <c r="BH97" s="167"/>
      <c r="BI97" s="167"/>
      <c r="BJ97" s="167"/>
      <c r="BK97" s="167"/>
      <c r="BL97" s="167"/>
      <c r="BM97" s="167"/>
      <c r="BN97" s="167"/>
      <c r="BO97" s="167"/>
    </row>
    <row r="98" spans="1:67" ht="3" customHeight="1" x14ac:dyDescent="0.3">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20"/>
      <c r="AJ98" s="166"/>
      <c r="AK98" s="167"/>
      <c r="AL98" s="167"/>
      <c r="AM98" s="167"/>
      <c r="AN98" s="167"/>
      <c r="AO98" s="167"/>
      <c r="AP98" s="167"/>
      <c r="AQ98" s="167"/>
      <c r="AR98" s="167"/>
      <c r="AS98" s="167"/>
      <c r="AT98" s="167"/>
      <c r="AU98" s="167"/>
      <c r="AV98" s="167"/>
      <c r="AW98" s="167"/>
      <c r="AX98" s="167"/>
      <c r="AY98" s="167"/>
      <c r="AZ98" s="167"/>
      <c r="BA98" s="167"/>
      <c r="BB98" s="167"/>
      <c r="BC98" s="167"/>
      <c r="BD98" s="167"/>
      <c r="BE98" s="167"/>
      <c r="BF98" s="167"/>
      <c r="BG98" s="167"/>
      <c r="BH98" s="167"/>
      <c r="BI98" s="167"/>
      <c r="BJ98" s="167"/>
      <c r="BK98" s="167"/>
      <c r="BL98" s="167"/>
      <c r="BM98" s="167"/>
      <c r="BN98" s="167"/>
      <c r="BO98" s="167"/>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6"/>
      <c r="AK99" s="167"/>
      <c r="AL99" s="167"/>
      <c r="AM99" s="167"/>
      <c r="AN99" s="167"/>
      <c r="AO99" s="167"/>
      <c r="AP99" s="167"/>
      <c r="AQ99" s="167"/>
      <c r="AR99" s="167"/>
      <c r="AS99" s="167"/>
      <c r="AT99" s="167"/>
      <c r="AU99" s="167"/>
      <c r="AV99" s="167"/>
      <c r="AW99" s="167"/>
      <c r="AX99" s="167"/>
      <c r="AY99" s="167"/>
      <c r="AZ99" s="167"/>
      <c r="BA99" s="167"/>
      <c r="BB99" s="167"/>
      <c r="BC99" s="167"/>
      <c r="BD99" s="167"/>
      <c r="BE99" s="167"/>
      <c r="BF99" s="167"/>
      <c r="BG99" s="167"/>
      <c r="BH99" s="167"/>
      <c r="BI99" s="167"/>
      <c r="BJ99" s="167"/>
      <c r="BK99" s="167"/>
      <c r="BL99" s="167"/>
      <c r="BM99" s="167"/>
      <c r="BN99" s="167"/>
      <c r="BO99" s="167"/>
    </row>
    <row r="100" spans="1:67" ht="12" customHeight="1" x14ac:dyDescent="0.3">
      <c r="A100" s="180" t="s">
        <v>95</v>
      </c>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81"/>
      <c r="AH100" s="182"/>
      <c r="AI100" s="20"/>
      <c r="AJ100" s="166"/>
      <c r="AK100" s="167"/>
      <c r="AL100" s="167"/>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67"/>
      <c r="BO100" s="167"/>
    </row>
    <row r="101" spans="1:67" s="3" customFormat="1" ht="12" customHeight="1" x14ac:dyDescent="0.3">
      <c r="A101" s="180"/>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c r="AB101" s="181"/>
      <c r="AC101" s="181"/>
      <c r="AD101" s="181"/>
      <c r="AE101" s="181"/>
      <c r="AF101" s="181"/>
      <c r="AG101" s="181"/>
      <c r="AH101" s="182"/>
      <c r="AI101" s="20"/>
      <c r="AJ101" s="166"/>
      <c r="AK101" s="167"/>
      <c r="AL101" s="167"/>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row>
    <row r="102" spans="1:67" s="3" customFormat="1" ht="12" customHeight="1" x14ac:dyDescent="0.3">
      <c r="A102" s="180"/>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81"/>
      <c r="AB102" s="181"/>
      <c r="AC102" s="181"/>
      <c r="AD102" s="181"/>
      <c r="AE102" s="181"/>
      <c r="AF102" s="181"/>
      <c r="AG102" s="181"/>
      <c r="AH102" s="182"/>
      <c r="AI102" s="20"/>
      <c r="AJ102" s="166"/>
      <c r="AK102" s="167"/>
      <c r="AL102" s="167"/>
      <c r="AM102" s="167"/>
      <c r="AN102" s="167"/>
      <c r="AO102" s="167"/>
      <c r="AP102" s="167"/>
      <c r="AQ102" s="167"/>
      <c r="AR102" s="167"/>
      <c r="AS102" s="167"/>
      <c r="AT102" s="167"/>
      <c r="AU102" s="167"/>
      <c r="AV102" s="167"/>
      <c r="AW102" s="167"/>
      <c r="AX102" s="167"/>
      <c r="AY102" s="167"/>
      <c r="AZ102" s="167"/>
      <c r="BA102" s="167"/>
      <c r="BB102" s="167"/>
      <c r="BC102" s="167"/>
      <c r="BD102" s="167"/>
      <c r="BE102" s="167"/>
      <c r="BF102" s="167"/>
      <c r="BG102" s="167"/>
      <c r="BH102" s="167"/>
      <c r="BI102" s="167"/>
      <c r="BJ102" s="167"/>
      <c r="BK102" s="167"/>
      <c r="BL102" s="167"/>
      <c r="BM102" s="167"/>
      <c r="BN102" s="167"/>
      <c r="BO102" s="167"/>
    </row>
    <row r="103" spans="1:67" s="3" customFormat="1" ht="12" customHeight="1" x14ac:dyDescent="0.3">
      <c r="A103" s="180"/>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81"/>
      <c r="AB103" s="181"/>
      <c r="AC103" s="181"/>
      <c r="AD103" s="181"/>
      <c r="AE103" s="181"/>
      <c r="AF103" s="181"/>
      <c r="AG103" s="181"/>
      <c r="AH103" s="182"/>
      <c r="AI103" s="20"/>
      <c r="AJ103" s="166"/>
      <c r="AK103" s="167"/>
      <c r="AL103" s="167"/>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7"/>
      <c r="BM103" s="167"/>
      <c r="BN103" s="167"/>
      <c r="BO103" s="167"/>
    </row>
    <row r="104" spans="1:67" s="3" customFormat="1" ht="12" customHeight="1" x14ac:dyDescent="0.3">
      <c r="A104" s="180"/>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81"/>
      <c r="AB104" s="181"/>
      <c r="AC104" s="181"/>
      <c r="AD104" s="181"/>
      <c r="AE104" s="181"/>
      <c r="AF104" s="181"/>
      <c r="AG104" s="181"/>
      <c r="AH104" s="182"/>
      <c r="AI104" s="20"/>
      <c r="AJ104" s="166"/>
      <c r="AK104" s="167"/>
      <c r="AL104" s="167"/>
      <c r="AM104" s="167"/>
      <c r="AN104" s="167"/>
      <c r="AO104" s="167"/>
      <c r="AP104" s="167"/>
      <c r="AQ104" s="167"/>
      <c r="AR104" s="167"/>
      <c r="AS104" s="167"/>
      <c r="AT104" s="167"/>
      <c r="AU104" s="167"/>
      <c r="AV104" s="167"/>
      <c r="AW104" s="167"/>
      <c r="AX104" s="167"/>
      <c r="AY104" s="167"/>
      <c r="AZ104" s="167"/>
      <c r="BA104" s="167"/>
      <c r="BB104" s="167"/>
      <c r="BC104" s="167"/>
      <c r="BD104" s="167"/>
      <c r="BE104" s="167"/>
      <c r="BF104" s="167"/>
      <c r="BG104" s="167"/>
      <c r="BH104" s="167"/>
      <c r="BI104" s="167"/>
      <c r="BJ104" s="167"/>
      <c r="BK104" s="167"/>
      <c r="BL104" s="167"/>
      <c r="BM104" s="167"/>
      <c r="BN104" s="167"/>
      <c r="BO104" s="167"/>
    </row>
    <row r="105" spans="1:67" s="3" customFormat="1" ht="12" customHeight="1" x14ac:dyDescent="0.3">
      <c r="A105" s="180"/>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81"/>
      <c r="AF105" s="181"/>
      <c r="AG105" s="181"/>
      <c r="AH105" s="182"/>
      <c r="AI105" s="16"/>
      <c r="AJ105" s="166"/>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row>
    <row r="106" spans="1:67" s="3" customFormat="1" ht="12" customHeight="1" x14ac:dyDescent="0.3">
      <c r="A106" s="180"/>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81"/>
      <c r="AB106" s="181"/>
      <c r="AC106" s="181"/>
      <c r="AD106" s="181"/>
      <c r="AE106" s="181"/>
      <c r="AF106" s="181"/>
      <c r="AG106" s="181"/>
      <c r="AH106" s="182"/>
      <c r="AJ106" s="166"/>
      <c r="AK106" s="167"/>
      <c r="AL106" s="167"/>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row>
    <row r="107" spans="1:67" s="3" customFormat="1" ht="12" customHeight="1" x14ac:dyDescent="0.3">
      <c r="A107" s="180"/>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81"/>
      <c r="AF107" s="181"/>
      <c r="AG107" s="181"/>
      <c r="AH107" s="182"/>
      <c r="AJ107" s="166"/>
      <c r="AK107" s="167"/>
      <c r="AL107" s="167"/>
      <c r="AM107" s="167"/>
      <c r="AN107" s="167"/>
      <c r="AO107" s="167"/>
      <c r="AP107" s="167"/>
      <c r="AQ107" s="167"/>
      <c r="AR107" s="167"/>
      <c r="AS107" s="167"/>
      <c r="AT107" s="167"/>
      <c r="AU107" s="167"/>
      <c r="AV107" s="167"/>
      <c r="AW107" s="167"/>
      <c r="AX107" s="167"/>
      <c r="AY107" s="167"/>
      <c r="AZ107" s="167"/>
      <c r="BA107" s="167"/>
      <c r="BB107" s="167"/>
      <c r="BC107" s="167"/>
      <c r="BD107" s="167"/>
      <c r="BE107" s="167"/>
      <c r="BF107" s="167"/>
      <c r="BG107" s="167"/>
      <c r="BH107" s="167"/>
      <c r="BI107" s="167"/>
      <c r="BJ107" s="167"/>
      <c r="BK107" s="167"/>
      <c r="BL107" s="167"/>
      <c r="BM107" s="167"/>
      <c r="BN107" s="167"/>
      <c r="BO107" s="167"/>
    </row>
    <row r="108" spans="1:67" s="3" customFormat="1" ht="12" customHeight="1" x14ac:dyDescent="0.3">
      <c r="A108" s="180"/>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c r="AB108" s="181"/>
      <c r="AC108" s="181"/>
      <c r="AD108" s="181"/>
      <c r="AE108" s="181"/>
      <c r="AF108" s="181"/>
      <c r="AG108" s="181"/>
      <c r="AH108" s="182"/>
      <c r="AJ108" s="166"/>
      <c r="AK108" s="167"/>
      <c r="AL108" s="167"/>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row>
    <row r="109" spans="1:67" s="3" customFormat="1" ht="3" customHeight="1" x14ac:dyDescent="0.3">
      <c r="A109" s="183"/>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c r="AB109" s="184"/>
      <c r="AC109" s="184"/>
      <c r="AD109" s="184"/>
      <c r="AE109" s="184"/>
      <c r="AF109" s="184"/>
      <c r="AG109" s="184"/>
      <c r="AH109" s="185"/>
      <c r="AI109" s="27"/>
      <c r="AJ109" s="166"/>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row>
    <row r="110" spans="1:67" s="3" customFormat="1" ht="3"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8" t="s">
        <v>90</v>
      </c>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168"/>
      <c r="AH111" s="168"/>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ht="12.9" customHeight="1" x14ac:dyDescent="0.3">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c r="AE112" s="162"/>
      <c r="AF112" s="162"/>
      <c r="AG112" s="162"/>
      <c r="AH112" s="162"/>
    </row>
    <row r="113" spans="1:15" x14ac:dyDescent="0.3">
      <c r="A113" s="149" t="s">
        <v>105</v>
      </c>
      <c r="B113" s="149"/>
      <c r="C113" s="149"/>
      <c r="D113" s="149"/>
      <c r="E113" s="149"/>
      <c r="F113" s="149"/>
      <c r="G113" s="149"/>
      <c r="H113" s="149"/>
      <c r="I113" s="149"/>
      <c r="J113" s="163"/>
      <c r="K113" s="163"/>
      <c r="L113" s="163"/>
      <c r="M113" s="163"/>
      <c r="N113" s="163"/>
      <c r="O113" s="163"/>
    </row>
    <row r="115" spans="1:15" ht="1.5" customHeight="1" x14ac:dyDescent="0.3"/>
  </sheetData>
  <sheetProtection formatCells="0" selectLockedCells="1"/>
  <mergeCells count="346">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2"/>
    <mergeCell ref="A113:I113"/>
    <mergeCell ref="J113:O113"/>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formula1>"Core,Applied,Specialized"</formula1>
    </dataValidation>
    <dataValidation type="list" allowBlank="1" showInputMessage="1" showErrorMessage="1" errorTitle="Careful!" error="Lowest Grade is 60, Highest is 100." sqref="AT11:BC22 AT54:BC65 AY38:BC41 AY81:BC84">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52"/>
  <sheetViews>
    <sheetView showGridLines="0" topLeftCell="A21" workbookViewId="0">
      <selection activeCell="C42" sqref="C42:H42"/>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
      </c>
      <c r="B1" s="29"/>
      <c r="C1" s="29"/>
      <c r="D1" s="29"/>
      <c r="E1" s="29"/>
      <c r="F1" s="29"/>
      <c r="G1" s="29"/>
      <c r="H1" s="29"/>
      <c r="I1" s="2" t="s">
        <v>109</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6" t="s">
        <v>53</v>
      </c>
      <c r="B4" s="186"/>
      <c r="C4" s="186"/>
      <c r="D4" s="186"/>
      <c r="E4" s="186"/>
      <c r="F4" s="186"/>
      <c r="G4" s="186"/>
      <c r="H4" s="186"/>
      <c r="I4" s="186"/>
    </row>
    <row r="5" spans="1:13" ht="8.25" customHeight="1" x14ac:dyDescent="0.3">
      <c r="A5" s="73"/>
      <c r="B5" s="73"/>
      <c r="C5" s="73"/>
      <c r="D5" s="73"/>
      <c r="E5" s="73"/>
      <c r="F5" s="73"/>
      <c r="G5" s="73"/>
      <c r="H5" s="73"/>
      <c r="I5" s="73"/>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
      </c>
      <c r="C7" s="3" t="s">
        <v>9</v>
      </c>
      <c r="M7" s="31"/>
    </row>
    <row r="8" spans="1:13" x14ac:dyDescent="0.3">
      <c r="A8" s="7" t="str">
        <f t="array" ref="A8">IFERROR(INDEX('Helper(IMPORTANT!)'!$J$7:$L$86,MATCH(1,('Helper(IMPORTANT!)'!$J$7:$J$86=C8)*('Helper(IMPORTANT!)'!$K$7:$K$86='Helper(IMPORTANT!)'!$J$6),0),3),"")</f>
        <v/>
      </c>
      <c r="C8" s="3" t="s">
        <v>54</v>
      </c>
      <c r="M8" s="31"/>
    </row>
    <row r="9" spans="1:13" x14ac:dyDescent="0.3">
      <c r="A9" s="7" t="str">
        <f t="array" ref="A9">IFERROR(INDEX('Helper(IMPORTANT!)'!$J$7:$L$86,MATCH(1,('Helper(IMPORTANT!)'!$J$7:$J$86=C9)*('Helper(IMPORTANT!)'!$K$7:$K$86='Helper(IMPORTANT!)'!$J$6),0),3),"")</f>
        <v/>
      </c>
      <c r="C9" s="3" t="s">
        <v>56</v>
      </c>
      <c r="M9" s="31"/>
    </row>
    <row r="10" spans="1:13" x14ac:dyDescent="0.3">
      <c r="A10" s="7" t="str">
        <f t="array" ref="A10">IFERROR(INDEX('Helper(IMPORTANT!)'!$J$7:$L$86,MATCH(1,('Helper(IMPORTANT!)'!$J$7:$J$86=C10)*('Helper(IMPORTANT!)'!$K$7:$K$86='Helper(IMPORTANT!)'!$J$6),0),3),"")</f>
        <v/>
      </c>
      <c r="C10" s="3" t="s">
        <v>57</v>
      </c>
      <c r="M10" s="31"/>
    </row>
    <row r="11" spans="1:13" x14ac:dyDescent="0.3">
      <c r="A11" s="7" t="str">
        <f t="array" ref="A11">IFERROR(INDEX('Helper(IMPORTANT!)'!$J$7:$L$86,MATCH(1,('Helper(IMPORTANT!)'!$J$7:$J$86=C11)*('Helper(IMPORTANT!)'!$K$7:$K$86='Helper(IMPORTANT!)'!$J$6),0),3),"")</f>
        <v/>
      </c>
      <c r="C11" s="3" t="s">
        <v>58</v>
      </c>
      <c r="M11" s="31"/>
    </row>
    <row r="12" spans="1:13" x14ac:dyDescent="0.3">
      <c r="A12" s="7" t="str">
        <f t="array" ref="A12">IFERROR(INDEX('Helper(IMPORTANT!)'!$J$7:$L$86,MATCH(1,('Helper(IMPORTANT!)'!$J$7:$J$86=C12)*('Helper(IMPORTANT!)'!$K$7:$K$86='Helper(IMPORTANT!)'!$J$6),0),3),"")</f>
        <v/>
      </c>
      <c r="C12" s="3" t="s">
        <v>59</v>
      </c>
      <c r="M12" s="31"/>
    </row>
    <row r="13" spans="1:13" x14ac:dyDescent="0.3">
      <c r="A13" s="7" t="str">
        <f t="array" ref="A13">IFERROR(INDEX('Helper(IMPORTANT!)'!$J$7:$L$86,MATCH(1,('Helper(IMPORTANT!)'!$J$7:$J$86=C13)*('Helper(IMPORTANT!)'!$K$7:$K$86='Helper(IMPORTANT!)'!$J$6),0),3),"")</f>
        <v/>
      </c>
      <c r="C13" s="3" t="s">
        <v>60</v>
      </c>
      <c r="M13" s="31"/>
    </row>
    <row r="14" spans="1:13" x14ac:dyDescent="0.3">
      <c r="A14" s="7" t="str">
        <f t="array" ref="A14">IFERROR(INDEX('Helper(IMPORTANT!)'!$J$7:$L$86,MATCH(1,('Helper(IMPORTANT!)'!$J$7:$J$86=C14)*('Helper(IMPORTANT!)'!$K$7:$K$86='Helper(IMPORTANT!)'!$J$6),0),3),"")</f>
        <v/>
      </c>
      <c r="C14" s="3" t="s">
        <v>10</v>
      </c>
      <c r="M14" s="31"/>
    </row>
    <row r="15" spans="1:13" x14ac:dyDescent="0.3">
      <c r="A15" s="7" t="str">
        <f t="array" ref="A15">IFERROR(INDEX('Helper(IMPORTANT!)'!$J$7:$L$86,MATCH(1,('Helper(IMPORTANT!)'!$J$7:$J$86=C15)*('Helper(IMPORTANT!)'!$K$7:$K$86='Helper(IMPORTANT!)'!$J$6),0),3),"")</f>
        <v/>
      </c>
      <c r="C15" s="3" t="s">
        <v>61</v>
      </c>
    </row>
    <row r="16" spans="1:13" x14ac:dyDescent="0.3">
      <c r="A16" s="7" t="str">
        <f t="array" ref="A16">IFERROR(INDEX('Helper(IMPORTANT!)'!$J$7:$L$86,MATCH(1,('Helper(IMPORTANT!)'!$J$7:$J$86=C16)*('Helper(IMPORTANT!)'!$K$7:$K$86='Helper(IMPORTANT!)'!$J$6),0),3),"")</f>
        <v/>
      </c>
      <c r="C16" s="3" t="s">
        <v>11</v>
      </c>
    </row>
    <row r="17" spans="1:14" x14ac:dyDescent="0.3">
      <c r="A17" s="7" t="str">
        <f t="array" ref="A17">IFERROR(INDEX('Helper(IMPORTANT!)'!$J$7:$L$86,MATCH(1,('Helper(IMPORTANT!)'!$J$7:$J$86=C17)*('Helper(IMPORTANT!)'!$K$7:$K$86='Helper(IMPORTANT!)'!$J$6),0),3),"")</f>
        <v/>
      </c>
      <c r="C17" s="3" t="s">
        <v>12</v>
      </c>
    </row>
    <row r="18" spans="1:14" x14ac:dyDescent="0.3">
      <c r="A18" s="7" t="str">
        <f t="array" ref="A18">IFERROR(INDEX('Helper(IMPORTANT!)'!$J$7:$L$86,MATCH(1,('Helper(IMPORTANT!)'!$J$7:$J$86=C18)*('Helper(IMPORTANT!)'!$K$7:$K$86='Helper(IMPORTANT!)'!$J$6),0),3),"")</f>
        <v/>
      </c>
      <c r="C18" s="3" t="s">
        <v>62</v>
      </c>
    </row>
    <row r="19" spans="1:14" x14ac:dyDescent="0.3">
      <c r="A19" s="7" t="str">
        <f t="array" ref="A19">IFERROR(INDEX('Helper(IMPORTANT!)'!$J$7:$L$86,MATCH(1,('Helper(IMPORTANT!)'!$J$7:$J$86=C19)*('Helper(IMPORTANT!)'!$K$7:$K$86='Helper(IMPORTANT!)'!$J$6),0),3),"")</f>
        <v/>
      </c>
      <c r="C19" s="3" t="s">
        <v>63</v>
      </c>
    </row>
    <row r="20" spans="1:14" x14ac:dyDescent="0.3">
      <c r="A20" s="7" t="str">
        <f t="array" ref="A20">IFERROR(INDEX('Helper(IMPORTANT!)'!$J$7:$L$86,MATCH(1,('Helper(IMPORTANT!)'!$J$7:$J$86=C20)*('Helper(IMPORTANT!)'!$K$7:$K$86='Helper(IMPORTANT!)'!$J$6),0),3),"")</f>
        <v/>
      </c>
      <c r="C20" s="3" t="s">
        <v>64</v>
      </c>
    </row>
    <row r="21" spans="1:14" x14ac:dyDescent="0.3">
      <c r="A21" s="7" t="str">
        <f>IF(COUNTIF('Helper(IMPORTANT!)'!M7:M14,"PASSED")&gt;=4,"∕","")</f>
        <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39"/>
      <c r="D26" s="139"/>
      <c r="E26" s="139"/>
      <c r="F26" s="139"/>
      <c r="G26" s="139"/>
      <c r="H26" s="139"/>
    </row>
    <row r="27" spans="1:14" x14ac:dyDescent="0.3">
      <c r="A27" s="7" t="str">
        <f t="array" ref="A27">IFERROR(INDEX('Helper(IMPORTANT!)'!$J$7:$L$86,MATCH(1,('Helper(IMPORTANT!)'!$J$7:$J$86=C27)*('Helper(IMPORTANT!)'!$K$7:$K$86='Helper(IMPORTANT!)'!$J$6),0),3),"")</f>
        <v/>
      </c>
      <c r="C27" s="190"/>
      <c r="D27" s="190"/>
      <c r="E27" s="190"/>
      <c r="F27" s="190"/>
      <c r="G27" s="190"/>
      <c r="H27" s="190"/>
    </row>
    <row r="28" spans="1:14" x14ac:dyDescent="0.3">
      <c r="A28" s="73"/>
      <c r="B28" s="73"/>
      <c r="C28" s="73"/>
      <c r="D28" s="73"/>
      <c r="E28" s="73"/>
      <c r="F28" s="73"/>
      <c r="G28" s="73"/>
      <c r="H28" s="73"/>
      <c r="I28" s="73"/>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
      </c>
      <c r="C30" s="3" t="s">
        <v>67</v>
      </c>
    </row>
    <row r="31" spans="1:14" x14ac:dyDescent="0.3">
      <c r="A31" s="7" t="str">
        <f t="array" ref="A31">IFERROR(INDEX('Helper(IMPORTANT!)'!$J$7:$L$86,MATCH(1,('Helper(IMPORTANT!)'!$J$7:$J$86=C31)*('Helper(IMPORTANT!)'!$K$7:$K$86='Helper(IMPORTANT!)'!$J$6),0),3),"")</f>
        <v/>
      </c>
      <c r="C31" s="3" t="s">
        <v>16</v>
      </c>
    </row>
    <row r="32" spans="1:14" x14ac:dyDescent="0.3">
      <c r="A32" s="7" t="str">
        <f t="array" ref="A32">IFERROR(INDEX('Helper(IMPORTANT!)'!$J$7:$L$86,MATCH(1,('Helper(IMPORTANT!)'!$J$7:$J$86=C32)*('Helper(IMPORTANT!)'!$K$7:$K$86='Helper(IMPORTANT!)'!$J$6),0),3),"")</f>
        <v/>
      </c>
      <c r="C32" s="3" t="s">
        <v>17</v>
      </c>
    </row>
    <row r="33" spans="1:9" x14ac:dyDescent="0.3">
      <c r="A33" s="7" t="str">
        <f t="array" ref="A33">IFERROR(INDEX('Helper(IMPORTANT!)'!$J$7:$L$86,MATCH(1,('Helper(IMPORTANT!)'!$J$7:$J$86=C33)*('Helper(IMPORTANT!)'!$K$7:$K$86='Helper(IMPORTANT!)'!$J$6),0),3),"")</f>
        <v/>
      </c>
      <c r="C33" s="3" t="s">
        <v>18</v>
      </c>
    </row>
    <row r="34" spans="1:9" x14ac:dyDescent="0.3">
      <c r="A34" s="7" t="str">
        <f t="array" ref="A34">IFERROR(INDEX('Helper(IMPORTANT!)'!$J$7:$L$86,MATCH(1,('Helper(IMPORTANT!)'!$J$7:$J$86=C34)*('Helper(IMPORTANT!)'!$K$7:$K$86='Helper(IMPORTANT!)'!$J$6),0),3),"")</f>
        <v/>
      </c>
      <c r="C34" s="3" t="s">
        <v>19</v>
      </c>
    </row>
    <row r="35" spans="1:9" x14ac:dyDescent="0.3">
      <c r="A35" s="7" t="str">
        <f t="array" ref="A35">IFERROR(INDEX('Helper(IMPORTANT!)'!$J$7:$L$86,MATCH(1,('Helper(IMPORTANT!)'!$J$7:$J$86=C35)*('Helper(IMPORTANT!)'!$K$7:$K$86='Helper(IMPORTANT!)'!$J$6),0),3),"")</f>
        <v/>
      </c>
      <c r="C35" s="3" t="s">
        <v>20</v>
      </c>
    </row>
    <row r="36" spans="1:9" x14ac:dyDescent="0.3">
      <c r="A36" s="7" t="str">
        <f t="array" ref="A36">IFERROR(INDEX('Helper(IMPORTANT!)'!$J$7:$L$86,MATCH(1,('Helper(IMPORTANT!)'!$J$7:$J$86=C36)*('Helper(IMPORTANT!)'!$K$7:$K$86='Helper(IMPORTANT!)'!$J$6),0),3),"")</f>
        <v/>
      </c>
      <c r="C36" s="3" t="s">
        <v>21</v>
      </c>
    </row>
    <row r="37" spans="1:9" ht="11.25" customHeight="1" x14ac:dyDescent="0.3">
      <c r="A37" s="73"/>
      <c r="B37" s="73"/>
      <c r="C37" s="73"/>
      <c r="D37" s="73"/>
      <c r="E37" s="73"/>
      <c r="F37" s="73"/>
      <c r="G37" s="73"/>
      <c r="H37" s="73"/>
      <c r="I37" s="73"/>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
      </c>
      <c r="C39" s="139" t="s">
        <v>118</v>
      </c>
      <c r="D39" s="139"/>
      <c r="E39" s="139"/>
      <c r="F39" s="139"/>
      <c r="G39" s="139"/>
      <c r="H39" s="139"/>
    </row>
    <row r="40" spans="1:9" x14ac:dyDescent="0.3">
      <c r="A40" s="7" t="str">
        <f t="array" ref="A40">IFERROR(INDEX('Helper(IMPORTANT!)'!$J$7:$L$86,MATCH(1,('Helper(IMPORTANT!)'!$J$7:$J$86=C40)*('Helper(IMPORTANT!)'!$K$7:$K$86='Helper(IMPORTANT!)'!$J$6),0),3),"")</f>
        <v/>
      </c>
      <c r="C40" s="139" t="s">
        <v>120</v>
      </c>
      <c r="D40" s="139"/>
      <c r="E40" s="139"/>
      <c r="F40" s="139"/>
      <c r="G40" s="139"/>
      <c r="H40" s="139"/>
    </row>
    <row r="41" spans="1:9" x14ac:dyDescent="0.3">
      <c r="A41" s="7" t="str">
        <f t="array" ref="A41">IFERROR(INDEX('Helper(IMPORTANT!)'!$J$7:$L$86,MATCH(1,('Helper(IMPORTANT!)'!$J$7:$J$86=C41)*('Helper(IMPORTANT!)'!$K$7:$K$86='Helper(IMPORTANT!)'!$J$6),0),3),"")</f>
        <v/>
      </c>
      <c r="C41" s="139" t="s">
        <v>128</v>
      </c>
      <c r="D41" s="139"/>
      <c r="E41" s="139"/>
      <c r="F41" s="139"/>
      <c r="G41" s="139"/>
      <c r="H41" s="139"/>
    </row>
    <row r="42" spans="1:9" x14ac:dyDescent="0.3">
      <c r="A42" s="7" t="str">
        <f t="array" ref="A42">IFERROR(INDEX('Helper(IMPORTANT!)'!$J$7:$L$86,MATCH(1,('Helper(IMPORTANT!)'!$J$7:$J$86=C42)*('Helper(IMPORTANT!)'!$K$7:$K$86='Helper(IMPORTANT!)'!$J$6),0),3),"")</f>
        <v/>
      </c>
      <c r="C42" s="189"/>
      <c r="D42" s="139"/>
      <c r="E42" s="139"/>
      <c r="F42" s="139"/>
      <c r="G42" s="139"/>
      <c r="H42" s="139"/>
    </row>
    <row r="43" spans="1:9" x14ac:dyDescent="0.3">
      <c r="A43" s="7" t="str">
        <f t="array" ref="A43">IFERROR(INDEX('Helper(IMPORTANT!)'!$J$7:$L$86,MATCH(1,('Helper(IMPORTANT!)'!$J$7:$J$86=C43)*('Helper(IMPORTANT!)'!$K$7:$K$86='Helper(IMPORTANT!)'!$J$6),0),3),"")</f>
        <v/>
      </c>
      <c r="C43" s="189"/>
      <c r="D43" s="139"/>
      <c r="E43" s="139"/>
      <c r="F43" s="139"/>
      <c r="G43" s="139"/>
      <c r="H43" s="139"/>
    </row>
    <row r="44" spans="1:9" x14ac:dyDescent="0.3">
      <c r="A44" s="7" t="str">
        <f t="array" ref="A44">IFERROR(INDEX('Helper(IMPORTANT!)'!$J$7:$L$86,MATCH(1,('Helper(IMPORTANT!)'!$J$7:$J$86=C44)*('Helper(IMPORTANT!)'!$K$7:$K$86='Helper(IMPORTANT!)'!$J$6),0),3),"")</f>
        <v/>
      </c>
      <c r="C44" s="189"/>
      <c r="D44" s="139"/>
      <c r="E44" s="139"/>
      <c r="F44" s="139"/>
      <c r="G44" s="139"/>
      <c r="H44" s="139"/>
    </row>
    <row r="45" spans="1:9" x14ac:dyDescent="0.3">
      <c r="A45" s="7" t="str">
        <f t="array" ref="A45">IFERROR(INDEX('Helper(IMPORTANT!)'!$J$7:$L$86,MATCH(1,('Helper(IMPORTANT!)'!$J$7:$J$86=C45)*('Helper(IMPORTANT!)'!$K$7:$K$86='Helper(IMPORTANT!)'!$J$6),0),3),"")</f>
        <v/>
      </c>
      <c r="C45" s="189"/>
      <c r="D45" s="139"/>
      <c r="E45" s="139"/>
      <c r="F45" s="139"/>
      <c r="G45" s="139"/>
      <c r="H45" s="139"/>
    </row>
    <row r="46" spans="1:9" x14ac:dyDescent="0.3">
      <c r="A46" s="7" t="str">
        <f t="array" ref="A46">IFERROR(INDEX('Helper(IMPORTANT!)'!$J$7:$L$86,MATCH(1,('Helper(IMPORTANT!)'!$J$7:$J$86=C46)*('Helper(IMPORTANT!)'!$K$7:$K$86='Helper(IMPORTANT!)'!$J$6),0),3),"")</f>
        <v/>
      </c>
      <c r="C46" s="189"/>
      <c r="D46" s="139"/>
      <c r="E46" s="139"/>
      <c r="F46" s="139"/>
      <c r="G46" s="139"/>
      <c r="H46" s="139"/>
    </row>
    <row r="47" spans="1:9" x14ac:dyDescent="0.3">
      <c r="A47" s="7" t="str">
        <f t="array" ref="A47">IFERROR(INDEX('Helper(IMPORTANT!)'!$J$7:$L$86,MATCH(1,('Helper(IMPORTANT!)'!$J$7:$J$86=C47)*('Helper(IMPORTANT!)'!$K$7:$K$86='Helper(IMPORTANT!)'!$J$6),0),3),"")</f>
        <v/>
      </c>
      <c r="C47" s="189"/>
      <c r="D47" s="139"/>
      <c r="E47" s="139"/>
      <c r="F47" s="139"/>
      <c r="G47" s="139"/>
      <c r="H47" s="139"/>
    </row>
    <row r="48" spans="1:9" ht="12.75" customHeight="1" x14ac:dyDescent="0.3"/>
    <row r="49" spans="1:9" x14ac:dyDescent="0.3">
      <c r="A49" s="161" t="s">
        <v>91</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39" t="s">
        <v>119</v>
      </c>
      <c r="D50" s="139"/>
      <c r="E50" s="139"/>
      <c r="F50" s="139"/>
      <c r="G50" s="139"/>
      <c r="H50" s="139"/>
    </row>
    <row r="51" spans="1:9" x14ac:dyDescent="0.3">
      <c r="A51" s="7" t="str">
        <f t="array" ref="A51">IFERROR(INDEX('Helper(IMPORTANT!)'!$J$7:$L$86,MATCH(1,('Helper(IMPORTANT!)'!$J$7:$J$86=C51)*('Helper(IMPORTANT!)'!$K$7:$K$86='Helper(IMPORTANT!)'!$J$6),0),3),"")</f>
        <v/>
      </c>
      <c r="C51" s="139"/>
      <c r="D51" s="139"/>
      <c r="E51" s="139"/>
      <c r="F51" s="139"/>
      <c r="G51" s="139"/>
      <c r="H51" s="139"/>
    </row>
    <row r="52" spans="1:9" x14ac:dyDescent="0.3">
      <c r="A52" s="7" t="str">
        <f t="array" ref="A52">IFERROR(INDEX('Helper(IMPORTANT!)'!$J$7:$L$86,MATCH(1,('Helper(IMPORTANT!)'!$J$7:$J$86=C52)*('Helper(IMPORTANT!)'!$K$7:$K$86='Helper(IMPORTANT!)'!$J$6),0),3),"")</f>
        <v/>
      </c>
      <c r="C52" s="139"/>
      <c r="D52" s="139"/>
      <c r="E52" s="139"/>
      <c r="F52" s="139"/>
      <c r="G52" s="139"/>
      <c r="H52" s="139"/>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dataValidation allowBlank="1" showInputMessage="1" showErrorMessage="1" promptTitle="TYPE HERE!" prompt="If you type here the Specialized Subjects, you will enable a drop-down list of Specialized Subjects in SUBJECTS Column." sqref="C39:H47"/>
    <dataValidation allowBlank="1" showInputMessage="1" showErrorMessage="1" promptTitle="TYPE HERE!" prompt="If you type here other subjects (ex. CAT), they will be automatically added to Other_Subjects drop-down list in SUBJECTS Column in FRONT and BACK sheets." sqref="C50:H52"/>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92</v>
      </c>
    </row>
    <row r="4" spans="1:13" hidden="1" x14ac:dyDescent="0.3">
      <c r="A4" s="193">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3"/>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3"/>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3"/>
      <c r="B7" s="35" t="str">
        <f>IF(FRONT!A34="Core","Core",IF(FRONT!A34="Applied","Applied",IF(FRONT!A34="Specialized","Specialized",IF(FRONT!A34="Other_Subjects","Other_Subjects"))))</f>
        <v>Core</v>
      </c>
      <c r="C7" s="36" t="s">
        <v>11</v>
      </c>
      <c r="D7" s="35" t="s">
        <v>18</v>
      </c>
      <c r="E7" s="26" t="str">
        <f>IF(ANNEX!C42="","",ANNEX!C42)</f>
        <v/>
      </c>
      <c r="I7" s="193">
        <v>1</v>
      </c>
      <c r="J7" s="3" t="str">
        <f>FRONT!I31</f>
        <v>Oral Communication</v>
      </c>
      <c r="K7" s="3" t="str">
        <f>FRONT!BI31</f>
        <v/>
      </c>
      <c r="L7" s="3" t="str">
        <f>IF(K7="PASSED","∕","")</f>
        <v/>
      </c>
      <c r="M7" s="7" t="str">
        <f t="array" ref="M7">IFERROR(INDEX(FRONT!I31:BI42,MATCH(1,(FRONT!I31:I42=$M$6)*(FRONT!BI31:BI42=$J$6),0),53),"")</f>
        <v/>
      </c>
    </row>
    <row r="8" spans="1:13" hidden="1" x14ac:dyDescent="0.3">
      <c r="A8" s="193"/>
      <c r="B8" s="35" t="str">
        <f>IF(FRONT!A35="Core","Core",IF(FRONT!A35="Applied","Applied",IF(FRONT!A35="Specialized","Specialized",IF(FRONT!A35="Other_Subjects","Other_Subjects"))))</f>
        <v>Core</v>
      </c>
      <c r="C8" s="36" t="s">
        <v>14</v>
      </c>
      <c r="D8" s="35" t="s">
        <v>21</v>
      </c>
      <c r="E8" s="26" t="str">
        <f>IF(ANNEX!C43="","",ANNEX!C43)</f>
        <v/>
      </c>
      <c r="I8" s="193"/>
      <c r="J8" s="3" t="str">
        <f>FRONT!I32</f>
        <v>Komunikasyon at Pananaliksik sa Wika at Kulturang Pilipino</v>
      </c>
      <c r="K8" s="3" t="str">
        <f>FRONT!BI32</f>
        <v/>
      </c>
      <c r="L8" s="3" t="str">
        <f t="shared" ref="L8:L71" si="0">IF(K8="PASSED","∕","")</f>
        <v/>
      </c>
      <c r="M8" s="7" t="str">
        <f t="array" ref="M8">IFERROR(INDEX(FRONT!I58:BI61,MATCH(1,(FRONT!I58:I61=$M$6)*(FRONT!BI58:BI61=$J$6),0),53),"")</f>
        <v/>
      </c>
    </row>
    <row r="9" spans="1:13" hidden="1" x14ac:dyDescent="0.3">
      <c r="A9" s="193"/>
      <c r="B9" s="35" t="str">
        <f>IF(FRONT!A36="Core","Core",IF(FRONT!A36="Applied","Applied",IF(FRONT!A36="Specialized","Specialized",IF(FRONT!A36="Other_Subjects","Other_Subjects"))))</f>
        <v>Core</v>
      </c>
      <c r="C9" s="36" t="s">
        <v>10</v>
      </c>
      <c r="D9" s="35" t="s">
        <v>16</v>
      </c>
      <c r="E9" s="26" t="str">
        <f>IF(ANNEX!C44="","",ANNEX!C44)</f>
        <v/>
      </c>
      <c r="I9" s="193"/>
      <c r="J9" s="3" t="str">
        <f>FRONT!I33</f>
        <v>Media and Information Literacy</v>
      </c>
      <c r="K9" s="3" t="str">
        <f>FRONT!BI33</f>
        <v/>
      </c>
      <c r="L9" s="3" t="str">
        <f t="shared" si="0"/>
        <v/>
      </c>
      <c r="M9" s="7" t="str">
        <f t="array" ref="M9">IFERROR(INDEX(FRONT!I74:BI85,MATCH(1,(FRONT!I74:I85=$M$6)*(FRONT!BI74:BI85=$J$6),0),53),"")</f>
        <v/>
      </c>
    </row>
    <row r="10" spans="1:13" hidden="1" x14ac:dyDescent="0.3">
      <c r="A10" s="193"/>
      <c r="B10" s="35" t="str">
        <f>IF(FRONT!A37="Core","Core",IF(FRONT!A37="Applied","Applied",IF(FRONT!A37="Specialized","Specialized",IF(FRONT!A37="Other_Subjects","Other_Subjects"))))</f>
        <v>Core</v>
      </c>
      <c r="C10" s="36" t="s">
        <v>64</v>
      </c>
      <c r="D10" s="35" t="s">
        <v>17</v>
      </c>
      <c r="E10" s="26" t="str">
        <f>IF(ANNEX!C45="","",ANNEX!C45)</f>
        <v/>
      </c>
      <c r="I10" s="193"/>
      <c r="J10" s="3" t="str">
        <f>FRONT!I34</f>
        <v>General Mathematics</v>
      </c>
      <c r="K10" s="3" t="str">
        <f>FRONT!BI34</f>
        <v/>
      </c>
      <c r="L10" s="3" t="str">
        <f t="shared" si="0"/>
        <v/>
      </c>
      <c r="M10" s="7" t="str">
        <f t="array" ref="M10">IFERROR(INDEX(FRONT!I101:BI104,MATCH(1,(FRONT!I101:I104=$M$6)*(FRONT!BI101:BI104=$J$6),0),53),"")</f>
        <v/>
      </c>
    </row>
    <row r="11" spans="1:13" hidden="1" x14ac:dyDescent="0.3">
      <c r="A11" s="193"/>
      <c r="B11" s="35" t="str">
        <f>IF(FRONT!A38="Core","Core",IF(FRONT!A38="Applied","Applied",IF(FRONT!A38="Specialized","Specialized",IF(FRONT!A38="Other_Subjects","Other_Subjects"))))</f>
        <v>Core</v>
      </c>
      <c r="C11" s="36" t="s">
        <v>56</v>
      </c>
      <c r="D11" s="38"/>
      <c r="E11" s="26" t="str">
        <f>IF(ANNEX!C46="","",ANNEX!C46)</f>
        <v/>
      </c>
      <c r="I11" s="193"/>
      <c r="J11" s="3" t="str">
        <f>FRONT!I35</f>
        <v>Earth Science</v>
      </c>
      <c r="K11" s="3" t="str">
        <f>FRONT!BI35</f>
        <v/>
      </c>
      <c r="L11" s="3" t="str">
        <f t="shared" si="0"/>
        <v/>
      </c>
      <c r="M11" s="7" t="str">
        <f t="array" ref="M11">IFERROR(INDEX(BACK!I11:BI22,MATCH(1,(BACK!I11:I22=$M$6)*(BACK!BI11:BI22=$J$6),0),53),"")</f>
        <v/>
      </c>
    </row>
    <row r="12" spans="1:13" hidden="1" x14ac:dyDescent="0.3">
      <c r="A12" s="193"/>
      <c r="B12" s="35" t="str">
        <f>IF(FRONT!A39="Core","Core",IF(FRONT!A39="Applied","Applied",IF(FRONT!A39="Specialized","Specialized",IF(FRONT!A39="Other_Subjects","Other_Subjects"))))</f>
        <v>Specialized</v>
      </c>
      <c r="C12" s="36" t="s">
        <v>60</v>
      </c>
      <c r="D12" s="14"/>
      <c r="E12" s="39" t="str">
        <f>IF(ANNEX!C47="","",ANNEX!C47)</f>
        <v/>
      </c>
      <c r="I12" s="193"/>
      <c r="J12" s="3" t="str">
        <f>FRONT!I36</f>
        <v>Personal Development/Pansariling Kaunlaran</v>
      </c>
      <c r="K12" s="3" t="str">
        <f>FRONT!BI36</f>
        <v/>
      </c>
      <c r="L12" s="3" t="str">
        <f t="shared" si="0"/>
        <v/>
      </c>
      <c r="M12" s="7" t="str">
        <f t="array" ref="M12">IFERROR(INDEX(BACK!I38:BI41,MATCH(1,(BACK!I38:I41=$M$6)*(BACK!BI38:BI41=$J$6),0),53),"")</f>
        <v/>
      </c>
    </row>
    <row r="13" spans="1:13" hidden="1" x14ac:dyDescent="0.3">
      <c r="A13" s="193"/>
      <c r="B13" s="35" t="str">
        <f>IF(FRONT!A40="Core","Core",IF(FRONT!A40="Applied","Applied",IF(FRONT!A40="Specialized","Specialized",IF(FRONT!A40="Other_Subjects","Other_Subjects"))))</f>
        <v>Other_Subjects</v>
      </c>
      <c r="C13" s="35" t="s">
        <v>9</v>
      </c>
      <c r="I13" s="193"/>
      <c r="J13" s="3" t="str">
        <f>FRONT!I37</f>
        <v>Understanding Culture, Society and Politics</v>
      </c>
      <c r="K13" s="3" t="str">
        <f>FRONT!BI37</f>
        <v/>
      </c>
      <c r="L13" s="3" t="str">
        <f t="shared" si="0"/>
        <v/>
      </c>
      <c r="M13" s="7" t="str">
        <f t="array" ref="M13">IFERROR(INDEX(BACK!I54:BI65,MATCH(1,(BACK!I54:I65=$M$6)*(BACK!BI54:BI65=$J$6),0),53),"")</f>
        <v/>
      </c>
    </row>
    <row r="14" spans="1:13" hidden="1" x14ac:dyDescent="0.3">
      <c r="A14" s="193"/>
      <c r="B14" s="35" t="b">
        <f>IF(FRONT!A41="Core","Core",IF(FRONT!A41="Applied","Applied",IF(FRONT!A41="Specialized","Specialized",IF(FRONT!A41="Other_Subjects","Other_Subjects"))))</f>
        <v>0</v>
      </c>
      <c r="C14" s="35" t="s">
        <v>57</v>
      </c>
      <c r="I14" s="193"/>
      <c r="J14" s="3" t="str">
        <f>FRONT!I38</f>
        <v>Physical Education and Health</v>
      </c>
      <c r="K14" s="3" t="str">
        <f>FRONT!BI38</f>
        <v/>
      </c>
      <c r="L14" s="3" t="str">
        <f t="shared" si="0"/>
        <v/>
      </c>
      <c r="M14" s="7" t="str">
        <f t="array" ref="M14">IFERROR(INDEX(BACK!I81:BI84,MATCH(1,(BACK!I81:I84=$M$6)*(BACK!BI81:BI84=$J$6),0),53),"")</f>
        <v/>
      </c>
    </row>
    <row r="15" spans="1:13" hidden="1" x14ac:dyDescent="0.3">
      <c r="A15" s="193"/>
      <c r="B15" s="35" t="b">
        <f>IF(FRONT!A42="Core","Core",IF(FRONT!A42="Applied","Applied",IF(FRONT!A42="Specialized","Specialized",IF(FRONT!A42="Other_Subjects","Other_Subjects"))))</f>
        <v>0</v>
      </c>
      <c r="C15" s="35" t="s">
        <v>62</v>
      </c>
      <c r="I15" s="193"/>
      <c r="J15" s="3" t="str">
        <f>FRONT!I39</f>
        <v>Organization and Management</v>
      </c>
      <c r="K15" s="3" t="str">
        <f>FRONT!BI39</f>
        <v/>
      </c>
      <c r="L15" s="3" t="str">
        <f t="shared" si="0"/>
        <v/>
      </c>
      <c r="M15" s="3"/>
    </row>
    <row r="16" spans="1:13" hidden="1" x14ac:dyDescent="0.3">
      <c r="A16" s="193">
        <v>2</v>
      </c>
      <c r="B16" s="33" t="b">
        <f>IF(FRONT!A58="Core","Core",IF(FRONT!A58="Applied","Applied",IF(FRONT!A58="Specialized","Specialized",IF(FRONT!A58="Other_Subjects","Other_Subjects"))))</f>
        <v>0</v>
      </c>
      <c r="C16" s="35" t="s">
        <v>73</v>
      </c>
      <c r="I16" s="193"/>
      <c r="J16" s="3" t="str">
        <f>FRONT!I40</f>
        <v>Homeroom Guidance</v>
      </c>
      <c r="K16" s="3" t="str">
        <f>FRONT!BI40</f>
        <v/>
      </c>
      <c r="L16" s="3" t="str">
        <f t="shared" si="0"/>
        <v/>
      </c>
      <c r="M16" s="3"/>
    </row>
    <row r="17" spans="1:13" hidden="1" x14ac:dyDescent="0.3">
      <c r="A17" s="193"/>
      <c r="B17" s="35" t="b">
        <f>IF(FRONT!A59="Core","Core",IF(FRONT!A59="Applied","Applied",IF(FRONT!A59="Specialized","Specialized",IF(FRONT!A59="Other_Subjects","Other_Subjects"))))</f>
        <v>0</v>
      </c>
      <c r="C17" s="35" t="s">
        <v>12</v>
      </c>
      <c r="I17" s="193"/>
      <c r="J17" s="3">
        <f>FRONT!I41</f>
        <v>0</v>
      </c>
      <c r="K17" s="3" t="str">
        <f>FRONT!BI41</f>
        <v/>
      </c>
      <c r="L17" s="3" t="str">
        <f t="shared" si="0"/>
        <v/>
      </c>
      <c r="M17" s="3"/>
    </row>
    <row r="18" spans="1:13" hidden="1" x14ac:dyDescent="0.3">
      <c r="A18" s="193"/>
      <c r="B18" s="35" t="e">
        <f>IF(FRONT!#REF!="Core","Core",IF(FRONT!#REF!="Applied","Applied",IF(FRONT!#REF!="Specialized","Specialized",IF(FRONT!#REF!="Other_Subjects","Other_Subjects"))))</f>
        <v>#REF!</v>
      </c>
      <c r="C18" s="35" t="s">
        <v>54</v>
      </c>
      <c r="I18" s="193"/>
      <c r="J18" s="3">
        <f>FRONT!I42</f>
        <v>0</v>
      </c>
      <c r="K18" s="3" t="str">
        <f>FRONT!BI42</f>
        <v/>
      </c>
      <c r="L18" s="3" t="str">
        <f t="shared" si="0"/>
        <v/>
      </c>
      <c r="M18" s="3"/>
    </row>
    <row r="19" spans="1:13" hidden="1" x14ac:dyDescent="0.3">
      <c r="A19" s="193"/>
      <c r="B19" s="35" t="e">
        <f>IF(FRONT!#REF!="Core","Core",IF(FRONT!#REF!="Applied","Applied",IF(FRONT!#REF!="Specialized","Specialized",IF(FRONT!#REF!="Other_Subjects","Other_Subjects"))))</f>
        <v>#REF!</v>
      </c>
      <c r="C19" s="35" t="s">
        <v>61</v>
      </c>
      <c r="I19" s="194">
        <v>2</v>
      </c>
      <c r="J19" s="3">
        <f>FRONT!I58</f>
        <v>0</v>
      </c>
      <c r="K19" s="3" t="str">
        <f>FRONT!BI58</f>
        <v/>
      </c>
      <c r="L19" s="3" t="str">
        <f t="shared" si="0"/>
        <v/>
      </c>
      <c r="M19" s="3"/>
    </row>
    <row r="20" spans="1:13" hidden="1" x14ac:dyDescent="0.3">
      <c r="A20" s="193"/>
      <c r="B20" s="35" t="e">
        <f>IF(FRONT!#REF!="Core","Core",IF(FRONT!#REF!="Applied","Applied",IF(FRONT!#REF!="Specialized","Specialized",IF(FRONT!#REF!="Other_Subjects","Other_Subjects"))))</f>
        <v>#REF!</v>
      </c>
      <c r="C20" s="35" t="s">
        <v>63</v>
      </c>
      <c r="I20" s="194"/>
      <c r="J20" s="3">
        <f>FRONT!I59</f>
        <v>0</v>
      </c>
      <c r="K20" s="3" t="str">
        <f>FRONT!BI59</f>
        <v/>
      </c>
      <c r="L20" s="3" t="str">
        <f t="shared" si="0"/>
        <v/>
      </c>
      <c r="M20" s="3"/>
    </row>
    <row r="21" spans="1:13" hidden="1" x14ac:dyDescent="0.3">
      <c r="A21" s="193"/>
      <c r="B21" s="35" t="e">
        <f>IF(FRONT!#REF!="Core","Core",IF(FRONT!#REF!="Applied","Applied",IF(FRONT!#REF!="Specialized","Specialized",IF(FRONT!#REF!="Other_Subjects","Other_Subjects"))))</f>
        <v>#REF!</v>
      </c>
      <c r="C21" s="40" t="str">
        <f>IF(ANNEX!C26="","",ANNEX!C26)</f>
        <v/>
      </c>
      <c r="D21" s="3"/>
      <c r="E21" s="3"/>
      <c r="I21" s="194"/>
      <c r="J21" s="3" t="e">
        <f>FRONT!#REF!</f>
        <v>#REF!</v>
      </c>
      <c r="K21" s="3" t="e">
        <f>FRONT!#REF!</f>
        <v>#REF!</v>
      </c>
      <c r="L21" s="3" t="e">
        <f t="shared" si="0"/>
        <v>#REF!</v>
      </c>
      <c r="M21" s="3"/>
    </row>
    <row r="22" spans="1:13" hidden="1" x14ac:dyDescent="0.3">
      <c r="A22" s="193"/>
      <c r="B22" s="35" t="b">
        <f>IF(FRONT!A60="Core","Core",IF(FRONT!A60="Applied","Applied",IF(FRONT!A60="Specialized","Specialized",IF(FRONT!A60="Other_Subjects","Other_Subjects"))))</f>
        <v>0</v>
      </c>
      <c r="C22" s="41" t="str">
        <f>IF(ANNEX!C27="","",ANNEX!C27)</f>
        <v/>
      </c>
      <c r="D22" s="3"/>
      <c r="E22" s="3"/>
      <c r="I22" s="194"/>
      <c r="J22" s="3" t="e">
        <f>FRONT!#REF!</f>
        <v>#REF!</v>
      </c>
      <c r="K22" s="3" t="e">
        <f>FRONT!#REF!</f>
        <v>#REF!</v>
      </c>
      <c r="L22" s="3" t="e">
        <f t="shared" si="0"/>
        <v>#REF!</v>
      </c>
      <c r="M22" s="3"/>
    </row>
    <row r="23" spans="1:13" hidden="1" x14ac:dyDescent="0.3">
      <c r="A23" s="193"/>
      <c r="B23" s="35" t="b">
        <f>IF(FRONT!A61="Core","Core",IF(FRONT!A61="Applied","Applied",IF(FRONT!A61="Specialized","Specialized",IF(FRONT!A61="Other_Subjects","Other_Subjects"))))</f>
        <v>0</v>
      </c>
      <c r="C23" s="3"/>
      <c r="D23" s="3"/>
      <c r="E23" s="3"/>
      <c r="I23" s="194"/>
      <c r="J23" s="3" t="e">
        <f>FRONT!#REF!</f>
        <v>#REF!</v>
      </c>
      <c r="K23" s="3" t="e">
        <f>FRONT!#REF!</f>
        <v>#REF!</v>
      </c>
      <c r="L23" s="3" t="e">
        <f t="shared" si="0"/>
        <v>#REF!</v>
      </c>
      <c r="M23" s="3"/>
    </row>
    <row r="24" spans="1:13" hidden="1" x14ac:dyDescent="0.3">
      <c r="A24" s="193"/>
      <c r="B24" s="35" t="b">
        <f>IF(FRONT!A62="Core","Core",IF(FRONT!A62="Applied","Applied",IF(FRONT!A62="Specialized","Specialized",IF(FRONT!A62="Other_Subjects","Other_Subjects"))))</f>
        <v>0</v>
      </c>
      <c r="C24" s="3"/>
      <c r="D24" s="3"/>
      <c r="E24" s="3"/>
      <c r="I24" s="194"/>
      <c r="J24" s="3" t="e">
        <f>FRONT!#REF!</f>
        <v>#REF!</v>
      </c>
      <c r="K24" s="3" t="e">
        <f>FRONT!#REF!</f>
        <v>#REF!</v>
      </c>
      <c r="L24" s="3" t="e">
        <f t="shared" si="0"/>
        <v>#REF!</v>
      </c>
      <c r="M24" s="3"/>
    </row>
    <row r="25" spans="1:13" hidden="1" x14ac:dyDescent="0.3">
      <c r="A25" s="193"/>
      <c r="B25" s="35" t="b">
        <f>IF(FRONT!A63="Core","Core",IF(FRONT!A63="Applied","Applied",IF(FRONT!A63="Specialized","Specialized",IF(FRONT!A63="Other_Subjects","Other_Subjects"))))</f>
        <v>0</v>
      </c>
      <c r="C25" s="3"/>
      <c r="D25" s="3"/>
      <c r="E25" s="3"/>
      <c r="I25" s="194"/>
      <c r="J25" s="3">
        <f>FRONT!I60</f>
        <v>0</v>
      </c>
      <c r="K25" s="3" t="str">
        <f>FRONT!BI60</f>
        <v/>
      </c>
      <c r="L25" s="32" t="str">
        <f t="shared" si="0"/>
        <v/>
      </c>
      <c r="M25" s="32"/>
    </row>
    <row r="26" spans="1:13" hidden="1" x14ac:dyDescent="0.3">
      <c r="A26" s="193"/>
      <c r="B26" s="35" t="b">
        <f>IF(FRONT!A64="Core","Core",IF(FRONT!A64="Applied","Applied",IF(FRONT!A64="Specialized","Specialized",IF(FRONT!A64="Other_Subjects","Other_Subjects"))))</f>
        <v>0</v>
      </c>
      <c r="C26" s="3"/>
      <c r="D26" s="3"/>
      <c r="E26" s="3"/>
      <c r="I26" s="194"/>
      <c r="J26" s="3">
        <f>FRONT!I61</f>
        <v>0</v>
      </c>
      <c r="K26" s="3" t="str">
        <f>FRONT!BI61</f>
        <v/>
      </c>
      <c r="L26" s="3" t="str">
        <f t="shared" si="0"/>
        <v/>
      </c>
      <c r="M26" s="3"/>
    </row>
    <row r="27" spans="1:13" hidden="1" x14ac:dyDescent="0.3">
      <c r="A27" s="193"/>
      <c r="B27" s="35" t="b">
        <f>IF(FRONT!A65="Core","Core",IF(FRONT!A65="Applied","Applied",IF(FRONT!A65="Specialized","Specialized",IF(FRONT!A65="Other_Subjects","Other_Subjects"))))</f>
        <v>0</v>
      </c>
      <c r="C27" s="3"/>
      <c r="D27" s="3"/>
      <c r="E27" s="3"/>
      <c r="I27" s="193">
        <v>3</v>
      </c>
      <c r="J27" s="3" t="str">
        <f>FRONT!I74</f>
        <v>Reading and Writing</v>
      </c>
      <c r="K27" s="3" t="str">
        <f>FRONT!BI74</f>
        <v/>
      </c>
      <c r="L27" s="3" t="str">
        <f t="shared" si="0"/>
        <v/>
      </c>
      <c r="M27" s="3"/>
    </row>
    <row r="28" spans="1:13" hidden="1" x14ac:dyDescent="0.3">
      <c r="A28" s="193">
        <v>3</v>
      </c>
      <c r="B28" s="33" t="str">
        <f>IF(FRONT!A74="Core","Core",IF(FRONT!A74="Applied","Applied",IF(FRONT!A74="Specialized","Specialized",IF(FRONT!A74="Other_Subjects","Other_Subjects"))))</f>
        <v>Core</v>
      </c>
      <c r="C28" s="3"/>
      <c r="D28" s="3"/>
      <c r="E28" s="3"/>
      <c r="I28" s="193"/>
      <c r="J28" s="3" t="str">
        <f>FRONT!I75</f>
        <v>Pagbasa at Pagsusuri ng Iba't Ibang Teksto Tungo sa Pananaliksik</v>
      </c>
      <c r="K28" s="3" t="str">
        <f>FRONT!BI75</f>
        <v/>
      </c>
      <c r="L28" s="3" t="str">
        <f t="shared" si="0"/>
        <v/>
      </c>
      <c r="M28" s="3"/>
    </row>
    <row r="29" spans="1:13" hidden="1" x14ac:dyDescent="0.3">
      <c r="A29" s="193"/>
      <c r="B29" s="35" t="str">
        <f>IF(FRONT!A75="Core","Core",IF(FRONT!A75="Applied","Applied",IF(FRONT!A75="Specialized","Specialized",IF(FRONT!A75="Other_Subjects","Other_Subjects"))))</f>
        <v>Core</v>
      </c>
      <c r="C29" s="3"/>
      <c r="D29" s="3"/>
      <c r="E29" s="3"/>
      <c r="I29" s="193"/>
      <c r="J29" s="3" t="str">
        <f>FRONT!I76</f>
        <v>21st Century Literature from the Philippines and the World</v>
      </c>
      <c r="K29" s="3" t="str">
        <f>FRONT!BI76</f>
        <v/>
      </c>
      <c r="L29" s="3" t="str">
        <f t="shared" si="0"/>
        <v/>
      </c>
      <c r="M29" s="3"/>
    </row>
    <row r="30" spans="1:13" hidden="1" x14ac:dyDescent="0.3">
      <c r="A30" s="193"/>
      <c r="B30" s="35" t="str">
        <f>IF(FRONT!A76="Core","Core",IF(FRONT!A76="Applied","Applied",IF(FRONT!A76="Specialized","Specialized",IF(FRONT!A76="Other_Subjects","Other_Subjects"))))</f>
        <v>Core</v>
      </c>
      <c r="C30" s="3"/>
      <c r="D30" s="3"/>
      <c r="E30" s="3"/>
      <c r="I30" s="193"/>
      <c r="J30" s="3" t="str">
        <f>FRONT!I77</f>
        <v>Contemporary Philippine Arts from the Regions</v>
      </c>
      <c r="K30" s="3" t="str">
        <f>FRONT!BI77</f>
        <v/>
      </c>
      <c r="L30" s="3" t="str">
        <f t="shared" si="0"/>
        <v/>
      </c>
      <c r="M30" s="3"/>
    </row>
    <row r="31" spans="1:13" hidden="1" x14ac:dyDescent="0.3">
      <c r="A31" s="193"/>
      <c r="B31" s="35" t="str">
        <f>IF(FRONT!A77="Core","Core",IF(FRONT!A77="Applied","Applied",IF(FRONT!A77="Specialized","Specialized",IF(FRONT!A77="Other_Subjects","Other_Subjects"))))</f>
        <v>Core</v>
      </c>
      <c r="C31" s="3"/>
      <c r="D31" s="3"/>
      <c r="E31" s="3"/>
      <c r="I31" s="193"/>
      <c r="J31" s="3" t="str">
        <f>FRONT!I78</f>
        <v>Statistics and Probability</v>
      </c>
      <c r="K31" s="3" t="str">
        <f>FRONT!BI78</f>
        <v/>
      </c>
      <c r="L31" s="3" t="str">
        <f t="shared" si="0"/>
        <v/>
      </c>
      <c r="M31" s="3"/>
    </row>
    <row r="32" spans="1:13" hidden="1" x14ac:dyDescent="0.3">
      <c r="A32" s="193"/>
      <c r="B32" s="35" t="str">
        <f>IF(FRONT!A78="Core","Core",IF(FRONT!A78="Applied","Applied",IF(FRONT!A78="Specialized","Specialized",IF(FRONT!A78="Other_Subjects","Other_Subjects"))))</f>
        <v>Core</v>
      </c>
      <c r="C32" s="3"/>
      <c r="D32" s="3"/>
      <c r="E32" s="3"/>
      <c r="I32" s="193"/>
      <c r="J32" s="3" t="str">
        <f>FRONT!I79</f>
        <v>Physical Science*</v>
      </c>
      <c r="K32" s="3" t="str">
        <f>FRONT!BI79</f>
        <v/>
      </c>
      <c r="L32" s="3" t="str">
        <f t="shared" si="0"/>
        <v/>
      </c>
      <c r="M32" s="3"/>
    </row>
    <row r="33" spans="1:13" hidden="1" x14ac:dyDescent="0.3">
      <c r="A33" s="193"/>
      <c r="B33" s="35" t="str">
        <f>IF(FRONT!A79="Core","Core",IF(FRONT!A79="Applied","Applied",IF(FRONT!A79="Specialized","Specialized",IF(FRONT!A79="Other_Subjects","Other_Subjects"))))</f>
        <v>Core</v>
      </c>
      <c r="C33" s="3"/>
      <c r="D33" s="3"/>
      <c r="E33" s="3"/>
      <c r="I33" s="193"/>
      <c r="J33" s="3" t="str">
        <f>FRONT!I80</f>
        <v>Introduction to the Philosophy of the Human Person/Pambungad sa Pilosopiya ng Tao</v>
      </c>
      <c r="K33" s="3" t="str">
        <f>FRONT!BI80</f>
        <v/>
      </c>
      <c r="L33" s="3" t="str">
        <f t="shared" si="0"/>
        <v/>
      </c>
      <c r="M33" s="3"/>
    </row>
    <row r="34" spans="1:13" hidden="1" x14ac:dyDescent="0.3">
      <c r="A34" s="193"/>
      <c r="B34" s="35" t="str">
        <f>IF(FRONT!A80="Core","Core",IF(FRONT!A80="Applied","Applied",IF(FRONT!A80="Specialized","Specialized",IF(FRONT!A80="Other_Subjects","Other_Subjects"))))</f>
        <v>Core</v>
      </c>
      <c r="C34" s="3"/>
      <c r="D34" s="3"/>
      <c r="E34" s="3"/>
      <c r="I34" s="193"/>
      <c r="J34" s="3" t="str">
        <f>FRONT!I81</f>
        <v>Physical Education and Health</v>
      </c>
      <c r="K34" s="3" t="str">
        <f>FRONT!BI81</f>
        <v/>
      </c>
      <c r="L34" s="3" t="str">
        <f t="shared" si="0"/>
        <v/>
      </c>
      <c r="M34" s="3"/>
    </row>
    <row r="35" spans="1:13" hidden="1" x14ac:dyDescent="0.3">
      <c r="A35" s="193"/>
      <c r="B35" s="35" t="str">
        <f>IF(FRONT!A81="Core","Core",IF(FRONT!A81="Applied","Applied",IF(FRONT!A81="Specialized","Specialized",IF(FRONT!A81="Other_Subjects","Other_Subjects"))))</f>
        <v>Core</v>
      </c>
      <c r="C35" s="3"/>
      <c r="D35" s="3"/>
      <c r="E35" s="3"/>
      <c r="I35" s="193"/>
      <c r="J35" s="3" t="str">
        <f>FRONT!I82</f>
        <v>Trend, Networks, and Critical Thinking in the 21st Century</v>
      </c>
      <c r="K35" s="3" t="str">
        <f>FRONT!BI82</f>
        <v/>
      </c>
      <c r="L35" s="3" t="str">
        <f t="shared" si="0"/>
        <v/>
      </c>
      <c r="M35" s="3"/>
    </row>
    <row r="36" spans="1:13" hidden="1" x14ac:dyDescent="0.3">
      <c r="A36" s="193"/>
      <c r="B36" s="35" t="str">
        <f>IF(FRONT!A82="Core","Core",IF(FRONT!A82="Applied","Applied",IF(FRONT!A82="Specialized","Specialized",IF(FRONT!A82="Other_Subjects","Other_Subjects"))))</f>
        <v>Specialized</v>
      </c>
      <c r="C36" s="3"/>
      <c r="D36" s="3"/>
      <c r="E36" s="3"/>
      <c r="I36" s="193"/>
      <c r="J36" s="3" t="str">
        <f>FRONT!I83</f>
        <v>Homeroom Guidance</v>
      </c>
      <c r="K36" s="3" t="str">
        <f>FRONT!BI83</f>
        <v/>
      </c>
      <c r="L36" s="3" t="str">
        <f t="shared" si="0"/>
        <v/>
      </c>
      <c r="M36" s="3"/>
    </row>
    <row r="37" spans="1:13" hidden="1" x14ac:dyDescent="0.3">
      <c r="A37" s="193"/>
      <c r="B37" s="35" t="str">
        <f>IF(FRONT!A83="Core","Core",IF(FRONT!A83="Applied","Applied",IF(FRONT!A83="Specialized","Specialized",IF(FRONT!A83="Other_Subjects","Other_Subjects"))))</f>
        <v>Other_Subjects</v>
      </c>
      <c r="C37" s="3"/>
      <c r="D37" s="3"/>
      <c r="E37" s="3"/>
      <c r="I37" s="193"/>
      <c r="J37" s="3">
        <f>FRONT!I84</f>
        <v>0</v>
      </c>
      <c r="K37" s="3" t="str">
        <f>FRONT!BI84</f>
        <v/>
      </c>
      <c r="L37" s="3" t="str">
        <f t="shared" si="0"/>
        <v/>
      </c>
      <c r="M37" s="3"/>
    </row>
    <row r="38" spans="1:13" hidden="1" x14ac:dyDescent="0.3">
      <c r="A38" s="193"/>
      <c r="B38" s="35" t="b">
        <f>IF(FRONT!A84="Core","Core",IF(FRONT!A84="Applied","Applied",IF(FRONT!A84="Specialized","Specialized",IF(FRONT!A84="Other_Subjects","Other_Subjects"))))</f>
        <v>0</v>
      </c>
      <c r="C38" s="3"/>
      <c r="D38" s="3"/>
      <c r="E38" s="3"/>
      <c r="I38" s="193"/>
      <c r="J38" s="3">
        <f>FRONT!I85</f>
        <v>0</v>
      </c>
      <c r="K38" s="3" t="str">
        <f>FRONT!BI85</f>
        <v/>
      </c>
      <c r="L38" s="3" t="str">
        <f t="shared" si="0"/>
        <v/>
      </c>
      <c r="M38" s="3"/>
    </row>
    <row r="39" spans="1:13" hidden="1" x14ac:dyDescent="0.3">
      <c r="A39" s="193"/>
      <c r="B39" s="35" t="b">
        <f>IF(FRONT!A85="Core","Core",IF(FRONT!A85="Applied","Applied",IF(FRONT!A85="Specialized","Specialized",IF(FRONT!A85="Other_Subjects","Other_Subjects"))))</f>
        <v>0</v>
      </c>
      <c r="C39" s="3"/>
      <c r="D39" s="3"/>
      <c r="E39" s="3"/>
      <c r="I39" s="194">
        <v>4</v>
      </c>
      <c r="J39" s="3">
        <f>FRONT!I101</f>
        <v>0</v>
      </c>
      <c r="K39" s="3" t="str">
        <f>FRONT!BI101</f>
        <v/>
      </c>
      <c r="L39" s="3" t="str">
        <f t="shared" si="0"/>
        <v/>
      </c>
      <c r="M39" s="3"/>
    </row>
    <row r="40" spans="1:13" hidden="1" x14ac:dyDescent="0.3">
      <c r="A40" s="193">
        <v>4</v>
      </c>
      <c r="B40" s="33" t="b">
        <f>IF(FRONT!A101="Core","Core",IF(FRONT!A101="Applied","Applied",IF(FRONT!A101="Specialized","Specialized",IF(FRONT!A101="Other_Subjects","Other_Subjects"))))</f>
        <v>0</v>
      </c>
      <c r="C40" s="3"/>
      <c r="D40" s="3"/>
      <c r="E40" s="3"/>
      <c r="I40" s="194"/>
      <c r="J40" s="3">
        <f>FRONT!I102</f>
        <v>0</v>
      </c>
      <c r="K40" s="3" t="str">
        <f>FRONT!BI102</f>
        <v/>
      </c>
      <c r="L40" s="3" t="str">
        <f t="shared" si="0"/>
        <v/>
      </c>
      <c r="M40" s="3"/>
    </row>
    <row r="41" spans="1:13" hidden="1" x14ac:dyDescent="0.3">
      <c r="A41" s="193"/>
      <c r="B41" s="35" t="b">
        <f>IF(FRONT!A102="Core","Core",IF(FRONT!A102="Applied","Applied",IF(FRONT!A102="Specialized","Specialized",IF(FRONT!A102="Other_Subjects","Other_Subjects"))))</f>
        <v>0</v>
      </c>
      <c r="C41" s="3"/>
      <c r="D41" s="3"/>
      <c r="E41" s="3"/>
      <c r="I41" s="194"/>
      <c r="J41" s="3" t="e">
        <f>FRONT!#REF!</f>
        <v>#REF!</v>
      </c>
      <c r="K41" s="3" t="e">
        <f>FRONT!#REF!</f>
        <v>#REF!</v>
      </c>
      <c r="L41" s="3" t="e">
        <f t="shared" si="0"/>
        <v>#REF!</v>
      </c>
      <c r="M41" s="3"/>
    </row>
    <row r="42" spans="1:13" hidden="1" x14ac:dyDescent="0.3">
      <c r="A42" s="193"/>
      <c r="B42" s="35" t="e">
        <f>IF(FRONT!#REF!="Core","Core",IF(FRONT!#REF!="Applied","Applied",IF(FRONT!#REF!="Specialized","Specialized",IF(FRONT!#REF!="Other_Subjects","Other_Subjects"))))</f>
        <v>#REF!</v>
      </c>
      <c r="C42" s="3"/>
      <c r="D42" s="3"/>
      <c r="E42" s="3"/>
      <c r="I42" s="194"/>
      <c r="J42" s="3" t="e">
        <f>FRONT!#REF!</f>
        <v>#REF!</v>
      </c>
      <c r="K42" s="3" t="e">
        <f>FRONT!#REF!</f>
        <v>#REF!</v>
      </c>
      <c r="L42" s="3" t="e">
        <f t="shared" si="0"/>
        <v>#REF!</v>
      </c>
      <c r="M42" s="3"/>
    </row>
    <row r="43" spans="1:13" hidden="1" x14ac:dyDescent="0.3">
      <c r="A43" s="193"/>
      <c r="B43" s="35" t="e">
        <f>IF(FRONT!#REF!="Core","Core",IF(FRONT!#REF!="Applied","Applied",IF(FRONT!#REF!="Specialized","Specialized",IF(FRONT!#REF!="Other_Subjects","Other_Subjects"))))</f>
        <v>#REF!</v>
      </c>
      <c r="C43" s="3"/>
      <c r="D43" s="3"/>
      <c r="E43" s="3"/>
      <c r="I43" s="194"/>
      <c r="J43" s="3" t="e">
        <f>FRONT!#REF!</f>
        <v>#REF!</v>
      </c>
      <c r="K43" s="3" t="e">
        <f>FRONT!#REF!</f>
        <v>#REF!</v>
      </c>
      <c r="L43" s="3" t="e">
        <f t="shared" si="0"/>
        <v>#REF!</v>
      </c>
      <c r="M43" s="3"/>
    </row>
    <row r="44" spans="1:13" hidden="1" x14ac:dyDescent="0.3">
      <c r="A44" s="193"/>
      <c r="B44" s="35" t="e">
        <f>IF(FRONT!#REF!="Core","Core",IF(FRONT!#REF!="Applied","Applied",IF(FRONT!#REF!="Specialized","Specialized",IF(FRONT!#REF!="Other_Subjects","Other_Subjects"))))</f>
        <v>#REF!</v>
      </c>
      <c r="C44" s="3"/>
      <c r="D44" s="3"/>
      <c r="E44" s="3"/>
      <c r="I44" s="194"/>
      <c r="J44" s="3" t="e">
        <f>FRONT!#REF!</f>
        <v>#REF!</v>
      </c>
      <c r="K44" s="3" t="e">
        <f>FRONT!#REF!</f>
        <v>#REF!</v>
      </c>
      <c r="L44" s="3" t="e">
        <f t="shared" si="0"/>
        <v>#REF!</v>
      </c>
      <c r="M44" s="3"/>
    </row>
    <row r="45" spans="1:13" hidden="1" x14ac:dyDescent="0.3">
      <c r="A45" s="193"/>
      <c r="B45" s="35" t="e">
        <f>IF(FRONT!#REF!="Core","Core",IF(FRONT!#REF!="Applied","Applied",IF(FRONT!#REF!="Specialized","Specialized",IF(FRONT!#REF!="Other_Subjects","Other_Subjects"))))</f>
        <v>#REF!</v>
      </c>
      <c r="C45" s="3"/>
      <c r="D45" s="3"/>
      <c r="E45" s="3"/>
      <c r="I45" s="194"/>
      <c r="J45" s="3">
        <f>FRONT!I103</f>
        <v>0</v>
      </c>
      <c r="K45" s="3" t="str">
        <f>FRONT!BI103</f>
        <v/>
      </c>
      <c r="L45" s="3" t="str">
        <f t="shared" si="0"/>
        <v/>
      </c>
      <c r="M45" s="3"/>
    </row>
    <row r="46" spans="1:13" hidden="1" x14ac:dyDescent="0.3">
      <c r="A46" s="193"/>
      <c r="B46" s="35" t="b">
        <f>IF(FRONT!A103="Core","Core",IF(FRONT!A103="Applied","Applied",IF(FRONT!A103="Specialized","Specialized",IF(FRONT!A103="Other_Subjects","Other_Subjects"))))</f>
        <v>0</v>
      </c>
      <c r="C46" s="3"/>
      <c r="D46" s="3"/>
      <c r="E46" s="3"/>
      <c r="I46" s="194"/>
      <c r="J46" s="3">
        <f>FRONT!I104</f>
        <v>0</v>
      </c>
      <c r="K46" s="3" t="str">
        <f>FRONT!BI104</f>
        <v/>
      </c>
      <c r="L46" s="3" t="str">
        <f t="shared" si="0"/>
        <v/>
      </c>
      <c r="M46" s="3"/>
    </row>
    <row r="47" spans="1:13" hidden="1" x14ac:dyDescent="0.3">
      <c r="A47" s="193"/>
      <c r="B47" s="35" t="b">
        <f>IF(FRONT!A104="Core","Core",IF(FRONT!A104="Applied","Applied",IF(FRONT!A104="Specialized","Specialized",IF(FRONT!A104="Other_Subjects","Other_Subjects"))))</f>
        <v>0</v>
      </c>
      <c r="C47" s="3"/>
      <c r="D47" s="3"/>
      <c r="E47" s="3"/>
      <c r="I47" s="193">
        <v>5</v>
      </c>
      <c r="J47" s="3">
        <f>BACK!I11</f>
        <v>0</v>
      </c>
      <c r="K47" s="3" t="str">
        <f>BACK!BI11</f>
        <v/>
      </c>
      <c r="L47" s="3" t="str">
        <f t="shared" si="0"/>
        <v/>
      </c>
      <c r="M47" s="3"/>
    </row>
    <row r="48" spans="1:13" hidden="1" x14ac:dyDescent="0.3">
      <c r="A48" s="193"/>
      <c r="B48" s="35" t="b">
        <f>IF(FRONT!A105="Core","Core",IF(FRONT!A105="Applied","Applied",IF(FRONT!A105="Specialized","Specialized",IF(FRONT!A105="Other_Subjects","Other_Subjects"))))</f>
        <v>0</v>
      </c>
      <c r="C48" s="3"/>
      <c r="D48" s="3"/>
      <c r="E48" s="3"/>
      <c r="I48" s="193"/>
      <c r="J48" s="3">
        <f>BACK!I12</f>
        <v>0</v>
      </c>
      <c r="K48" s="3" t="str">
        <f>BACK!BI12</f>
        <v/>
      </c>
      <c r="L48" s="3" t="str">
        <f t="shared" si="0"/>
        <v/>
      </c>
      <c r="M48" s="3"/>
    </row>
    <row r="49" spans="1:13" hidden="1" x14ac:dyDescent="0.3">
      <c r="A49" s="193"/>
      <c r="B49" s="35" t="b">
        <f>IF(FRONT!A106="Core","Core",IF(FRONT!A106="Applied","Applied",IF(FRONT!A106="Specialized","Specialized",IF(FRONT!A106="Other_Subjects","Other_Subjects"))))</f>
        <v>0</v>
      </c>
      <c r="C49" s="3"/>
      <c r="D49" s="3"/>
      <c r="E49" s="3"/>
      <c r="I49" s="193"/>
      <c r="J49" s="3">
        <f>BACK!I13</f>
        <v>0</v>
      </c>
      <c r="K49" s="3" t="str">
        <f>BACK!BI13</f>
        <v/>
      </c>
      <c r="L49" s="3" t="str">
        <f t="shared" si="0"/>
        <v/>
      </c>
      <c r="M49" s="3"/>
    </row>
    <row r="50" spans="1:13" hidden="1" x14ac:dyDescent="0.3">
      <c r="A50" s="193"/>
      <c r="B50" s="35" t="b">
        <f>IF(FRONT!A107="Core","Core",IF(FRONT!A107="Applied","Applied",IF(FRONT!A107="Specialized","Specialized",IF(FRONT!A107="Other_Subjects","Other_Subjects"))))</f>
        <v>0</v>
      </c>
      <c r="C50" s="3"/>
      <c r="D50" s="3"/>
      <c r="E50" s="3"/>
      <c r="I50" s="193"/>
      <c r="J50" s="3">
        <f>BACK!I14</f>
        <v>0</v>
      </c>
      <c r="K50" s="3" t="str">
        <f>BACK!BI14</f>
        <v/>
      </c>
      <c r="L50" s="3" t="str">
        <f t="shared" si="0"/>
        <v/>
      </c>
      <c r="M50" s="3"/>
    </row>
    <row r="51" spans="1:13" hidden="1" x14ac:dyDescent="0.3">
      <c r="A51" s="193"/>
      <c r="B51" s="38" t="b">
        <f>IF(FRONT!A108="Core","Core",IF(FRONT!A108="Applied","Applied",IF(FRONT!A108="Specialized","Specialized",IF(FRONT!A108="Other_Subjects","Other_Subjects"))))</f>
        <v>0</v>
      </c>
      <c r="C51" s="3"/>
      <c r="D51" s="3"/>
      <c r="E51" s="3"/>
      <c r="I51" s="193"/>
      <c r="J51" s="3">
        <f>BACK!I15</f>
        <v>0</v>
      </c>
      <c r="K51" s="3" t="str">
        <f>BACK!BI15</f>
        <v/>
      </c>
      <c r="L51" s="3" t="str">
        <f t="shared" si="0"/>
        <v/>
      </c>
      <c r="M51" s="3"/>
    </row>
    <row r="52" spans="1:13" hidden="1" x14ac:dyDescent="0.3">
      <c r="A52" s="193">
        <v>5</v>
      </c>
      <c r="B52" s="35" t="b">
        <f>IF(BACK!A11="Core","Core",IF(BACK!A11="Applied","Applied",IF(BACK!A11="Specialized","Specialized",IF(BACK!A11="Other_Subjects","Other_Subjects"))))</f>
        <v>0</v>
      </c>
      <c r="C52" s="3"/>
      <c r="D52" s="3"/>
      <c r="E52" s="3"/>
      <c r="I52" s="193"/>
      <c r="J52" s="3">
        <f>BACK!I16</f>
        <v>0</v>
      </c>
      <c r="K52" s="3" t="str">
        <f>BACK!BI16</f>
        <v/>
      </c>
      <c r="L52" s="3" t="str">
        <f t="shared" si="0"/>
        <v/>
      </c>
      <c r="M52" s="3"/>
    </row>
    <row r="53" spans="1:13" hidden="1" x14ac:dyDescent="0.3">
      <c r="A53" s="193"/>
      <c r="B53" s="35" t="b">
        <f>IF(BACK!A12="Core","Core",IF(BACK!A12="Applied","Applied",IF(BACK!A12="Specialized","Specialized",IF(BACK!A12="Other_Subjects","Other_Subjects"))))</f>
        <v>0</v>
      </c>
      <c r="C53" s="3"/>
      <c r="D53" s="3"/>
      <c r="E53" s="3"/>
      <c r="I53" s="193"/>
      <c r="J53" s="3">
        <f>BACK!I17</f>
        <v>0</v>
      </c>
      <c r="K53" s="3" t="str">
        <f>BACK!BI17</f>
        <v/>
      </c>
      <c r="L53" s="3" t="str">
        <f t="shared" si="0"/>
        <v/>
      </c>
      <c r="M53" s="3"/>
    </row>
    <row r="54" spans="1:13" hidden="1" x14ac:dyDescent="0.3">
      <c r="A54" s="193"/>
      <c r="B54" s="35" t="b">
        <f>IF(BACK!A13="Core","Core",IF(BACK!A13="Applied","Applied",IF(BACK!A13="Specialized","Specialized",IF(BACK!A13="Other_Subjects","Other_Subjects"))))</f>
        <v>0</v>
      </c>
      <c r="C54" s="3"/>
      <c r="D54" s="3"/>
      <c r="E54" s="3"/>
      <c r="I54" s="193"/>
      <c r="J54" s="3">
        <f>BACK!I18</f>
        <v>0</v>
      </c>
      <c r="K54" s="3" t="str">
        <f>BACK!BI18</f>
        <v/>
      </c>
      <c r="L54" s="3" t="str">
        <f t="shared" si="0"/>
        <v/>
      </c>
      <c r="M54" s="3"/>
    </row>
    <row r="55" spans="1:13" hidden="1" x14ac:dyDescent="0.3">
      <c r="A55" s="193"/>
      <c r="B55" s="35" t="b">
        <f>IF(BACK!A14="Core","Core",IF(BACK!A14="Applied","Applied",IF(BACK!A14="Specialized","Specialized",IF(BACK!A14="Other_Subjects","Other_Subjects"))))</f>
        <v>0</v>
      </c>
      <c r="C55" s="3"/>
      <c r="D55" s="3"/>
      <c r="E55" s="3"/>
      <c r="I55" s="193"/>
      <c r="J55" s="3">
        <f>BACK!I19</f>
        <v>0</v>
      </c>
      <c r="K55" s="3" t="str">
        <f>BACK!BI19</f>
        <v/>
      </c>
      <c r="L55" s="3" t="str">
        <f t="shared" si="0"/>
        <v/>
      </c>
      <c r="M55" s="3"/>
    </row>
    <row r="56" spans="1:13" hidden="1" x14ac:dyDescent="0.3">
      <c r="A56" s="193"/>
      <c r="B56" s="35" t="b">
        <f>IF(BACK!A15="Core","Core",IF(BACK!A15="Applied","Applied",IF(BACK!A15="Specialized","Specialized",IF(BACK!A15="Other_Subjects","Other_Subjects"))))</f>
        <v>0</v>
      </c>
      <c r="C56" s="3"/>
      <c r="D56" s="3"/>
      <c r="E56" s="3"/>
      <c r="I56" s="193"/>
      <c r="J56" s="3">
        <f>BACK!I20</f>
        <v>0</v>
      </c>
      <c r="K56" s="3" t="str">
        <f>BACK!BI20</f>
        <v/>
      </c>
      <c r="L56" s="3" t="str">
        <f t="shared" si="0"/>
        <v/>
      </c>
      <c r="M56" s="3"/>
    </row>
    <row r="57" spans="1:13" hidden="1" x14ac:dyDescent="0.3">
      <c r="A57" s="193"/>
      <c r="B57" s="35" t="b">
        <f>IF(BACK!A16="Core","Core",IF(BACK!A16="Applied","Applied",IF(BACK!A16="Specialized","Specialized",IF(BACK!A16="Other_Subjects","Other_Subjects"))))</f>
        <v>0</v>
      </c>
      <c r="C57" s="3"/>
      <c r="D57" s="3"/>
      <c r="E57" s="3"/>
      <c r="I57" s="193"/>
      <c r="J57" s="3">
        <f>BACK!I21</f>
        <v>0</v>
      </c>
      <c r="K57" s="3" t="str">
        <f>BACK!BI21</f>
        <v/>
      </c>
      <c r="L57" s="3" t="str">
        <f t="shared" si="0"/>
        <v/>
      </c>
      <c r="M57" s="3"/>
    </row>
    <row r="58" spans="1:13" hidden="1" x14ac:dyDescent="0.3">
      <c r="A58" s="193"/>
      <c r="B58" s="35" t="b">
        <f>IF(BACK!A17="Core","Core",IF(BACK!A17="Applied","Applied",IF(BACK!A17="Specialized","Specialized",IF(BACK!A17="Other_Subjects","Other_Subjects"))))</f>
        <v>0</v>
      </c>
      <c r="C58" s="3"/>
      <c r="D58" s="3"/>
      <c r="E58" s="3"/>
      <c r="I58" s="193"/>
      <c r="J58" s="3">
        <f>BACK!I22</f>
        <v>0</v>
      </c>
      <c r="K58" s="3" t="str">
        <f>BACK!BI22</f>
        <v/>
      </c>
      <c r="L58" s="3" t="str">
        <f t="shared" si="0"/>
        <v/>
      </c>
      <c r="M58" s="3"/>
    </row>
    <row r="59" spans="1:13" hidden="1" x14ac:dyDescent="0.3">
      <c r="A59" s="193"/>
      <c r="B59" s="35" t="b">
        <f>IF(BACK!A18="Core","Core",IF(BACK!A18="Applied","Applied",IF(BACK!A18="Specialized","Specialized",IF(BACK!A18="Other_Subjects","Other_Subjects"))))</f>
        <v>0</v>
      </c>
      <c r="C59" s="3"/>
      <c r="D59" s="3"/>
      <c r="E59" s="3"/>
      <c r="I59" s="194">
        <v>6</v>
      </c>
      <c r="J59" s="3">
        <f>BACK!I38</f>
        <v>0</v>
      </c>
      <c r="K59" s="3" t="str">
        <f>BACK!BI38</f>
        <v/>
      </c>
      <c r="L59" s="3" t="str">
        <f t="shared" si="0"/>
        <v/>
      </c>
      <c r="M59" s="3"/>
    </row>
    <row r="60" spans="1:13" hidden="1" x14ac:dyDescent="0.3">
      <c r="A60" s="193"/>
      <c r="B60" s="35" t="b">
        <f>IF(BACK!A19="Core","Core",IF(BACK!A19="Applied","Applied",IF(BACK!A19="Specialized","Specialized",IF(BACK!A19="Other_Subjects","Other_Subjects"))))</f>
        <v>0</v>
      </c>
      <c r="C60" s="3"/>
      <c r="D60" s="3"/>
      <c r="E60" s="3"/>
      <c r="I60" s="194"/>
      <c r="J60" s="3">
        <f>BACK!I39</f>
        <v>0</v>
      </c>
      <c r="K60" s="3" t="str">
        <f>BACK!BI39</f>
        <v/>
      </c>
      <c r="L60" s="3" t="str">
        <f t="shared" si="0"/>
        <v/>
      </c>
      <c r="M60" s="3"/>
    </row>
    <row r="61" spans="1:13" hidden="1" x14ac:dyDescent="0.3">
      <c r="A61" s="193"/>
      <c r="B61" s="35" t="b">
        <f>IF(BACK!A20="Core","Core",IF(BACK!A20="Applied","Applied",IF(BACK!A20="Specialized","Specialized",IF(BACK!A20="Other_Subjects","Other_Subjects"))))</f>
        <v>0</v>
      </c>
      <c r="C61" s="3"/>
      <c r="D61" s="3"/>
      <c r="E61" s="3"/>
      <c r="I61" s="194"/>
      <c r="J61" s="3" t="e">
        <f>BACK!#REF!</f>
        <v>#REF!</v>
      </c>
      <c r="K61" s="3" t="e">
        <f>BACK!#REF!</f>
        <v>#REF!</v>
      </c>
      <c r="L61" s="3" t="e">
        <f t="shared" si="0"/>
        <v>#REF!</v>
      </c>
      <c r="M61" s="3"/>
    </row>
    <row r="62" spans="1:13" hidden="1" x14ac:dyDescent="0.3">
      <c r="A62" s="193"/>
      <c r="B62" s="35" t="b">
        <f>IF(BACK!A21="Core","Core",IF(BACK!A21="Applied","Applied",IF(BACK!A21="Specialized","Specialized",IF(BACK!A21="Other_Subjects","Other_Subjects"))))</f>
        <v>0</v>
      </c>
      <c r="C62" s="3"/>
      <c r="D62" s="3"/>
      <c r="E62" s="3"/>
      <c r="I62" s="194"/>
      <c r="J62" s="3" t="e">
        <f>BACK!#REF!</f>
        <v>#REF!</v>
      </c>
      <c r="K62" s="3" t="e">
        <f>BACK!#REF!</f>
        <v>#REF!</v>
      </c>
      <c r="L62" s="3" t="e">
        <f t="shared" si="0"/>
        <v>#REF!</v>
      </c>
      <c r="M62" s="3"/>
    </row>
    <row r="63" spans="1:13" hidden="1" x14ac:dyDescent="0.3">
      <c r="A63" s="193"/>
      <c r="B63" s="35" t="b">
        <f>IF(BACK!A22="Core","Core",IF(BACK!A22="Applied","Applied",IF(BACK!A22="Specialized","Specialized",IF(BACK!A22="Other_Subjects","Other_Subjects"))))</f>
        <v>0</v>
      </c>
      <c r="C63" s="3"/>
      <c r="D63" s="3"/>
      <c r="E63" s="3"/>
      <c r="I63" s="194"/>
      <c r="J63" s="3" t="e">
        <f>BACK!#REF!</f>
        <v>#REF!</v>
      </c>
      <c r="K63" s="3" t="e">
        <f>BACK!#REF!</f>
        <v>#REF!</v>
      </c>
      <c r="L63" s="3" t="e">
        <f t="shared" si="0"/>
        <v>#REF!</v>
      </c>
      <c r="M63" s="3"/>
    </row>
    <row r="64" spans="1:13" hidden="1" x14ac:dyDescent="0.3">
      <c r="A64" s="193">
        <v>6</v>
      </c>
      <c r="B64" s="33" t="b">
        <f>IF(BACK!A38="Core","Core",IF(BACK!A38="Applied","Applied",IF(BACK!A38="Specialized","Specialized",IF(BACK!A38="Other_Subjects","Other_Subjects"))))</f>
        <v>0</v>
      </c>
      <c r="C64" s="3"/>
      <c r="D64" s="3"/>
      <c r="E64" s="3"/>
      <c r="I64" s="194"/>
      <c r="J64" s="3" t="e">
        <f>BACK!#REF!</f>
        <v>#REF!</v>
      </c>
      <c r="K64" s="3" t="e">
        <f>BACK!#REF!</f>
        <v>#REF!</v>
      </c>
      <c r="L64" s="3" t="e">
        <f t="shared" si="0"/>
        <v>#REF!</v>
      </c>
      <c r="M64" s="3"/>
    </row>
    <row r="65" spans="1:13" hidden="1" x14ac:dyDescent="0.3">
      <c r="A65" s="193"/>
      <c r="B65" s="35" t="b">
        <f>IF(BACK!A39="Core","Core",IF(BACK!A39="Applied","Applied",IF(BACK!A39="Specialized","Specialized",IF(BACK!A39="Other_Subjects","Other_Subjects"))))</f>
        <v>0</v>
      </c>
      <c r="C65" s="3"/>
      <c r="D65" s="3"/>
      <c r="E65" s="3"/>
      <c r="I65" s="194"/>
      <c r="J65" s="3">
        <f>BACK!I40</f>
        <v>0</v>
      </c>
      <c r="K65" s="3" t="str">
        <f>BACK!BI40</f>
        <v/>
      </c>
      <c r="L65" s="3" t="str">
        <f t="shared" si="0"/>
        <v/>
      </c>
      <c r="M65" s="3"/>
    </row>
    <row r="66" spans="1:13" hidden="1" x14ac:dyDescent="0.3">
      <c r="A66" s="193"/>
      <c r="B66" s="35" t="e">
        <f>IF(BACK!#REF!="Core","Core",IF(BACK!#REF!="Applied","Applied",IF(BACK!#REF!="Specialized","Specialized",IF(BACK!#REF!="Other_Subjects","Other_Subjects"))))</f>
        <v>#REF!</v>
      </c>
      <c r="C66" s="3"/>
      <c r="D66" s="3"/>
      <c r="E66" s="3"/>
      <c r="I66" s="194"/>
      <c r="J66" s="3">
        <f>BACK!I41</f>
        <v>0</v>
      </c>
      <c r="K66" s="3" t="str">
        <f>BACK!BI41</f>
        <v/>
      </c>
      <c r="L66" s="3" t="str">
        <f t="shared" si="0"/>
        <v/>
      </c>
      <c r="M66" s="3"/>
    </row>
    <row r="67" spans="1:13" hidden="1" x14ac:dyDescent="0.3">
      <c r="A67" s="193"/>
      <c r="B67" s="35" t="e">
        <f>IF(BACK!#REF!="Core","Core",IF(BACK!#REF!="Applied","Applied",IF(BACK!#REF!="Specialized","Specialized",IF(BACK!#REF!="Other_Subjects","Other_Subjects"))))</f>
        <v>#REF!</v>
      </c>
      <c r="C67" s="3"/>
      <c r="D67" s="3"/>
      <c r="E67" s="3"/>
      <c r="I67" s="193">
        <v>7</v>
      </c>
      <c r="J67" s="3">
        <f>BACK!I54</f>
        <v>0</v>
      </c>
      <c r="K67" s="3" t="str">
        <f>BACK!BI54</f>
        <v/>
      </c>
      <c r="L67" s="3" t="str">
        <f t="shared" si="0"/>
        <v/>
      </c>
      <c r="M67" s="3"/>
    </row>
    <row r="68" spans="1:13" hidden="1" x14ac:dyDescent="0.3">
      <c r="A68" s="193"/>
      <c r="B68" s="35" t="e">
        <f>IF(BACK!#REF!="Core","Core",IF(BACK!#REF!="Applied","Applied",IF(BACK!#REF!="Specialized","Specialized",IF(BACK!#REF!="Other_Subjects","Other_Subjects"))))</f>
        <v>#REF!</v>
      </c>
      <c r="C68" s="3"/>
      <c r="D68" s="3"/>
      <c r="E68" s="3"/>
      <c r="I68" s="193"/>
      <c r="J68" s="3">
        <f>BACK!I55</f>
        <v>0</v>
      </c>
      <c r="K68" s="3" t="str">
        <f>BACK!BI55</f>
        <v/>
      </c>
      <c r="L68" s="3" t="str">
        <f t="shared" si="0"/>
        <v/>
      </c>
      <c r="M68" s="3"/>
    </row>
    <row r="69" spans="1:13" hidden="1" x14ac:dyDescent="0.3">
      <c r="A69" s="193"/>
      <c r="B69" s="35" t="e">
        <f>IF(BACK!#REF!="Core","Core",IF(BACK!#REF!="Applied","Applied",IF(BACK!#REF!="Specialized","Specialized",IF(BACK!#REF!="Other_Subjects","Other_Subjects"))))</f>
        <v>#REF!</v>
      </c>
      <c r="C69" s="3"/>
      <c r="D69" s="3"/>
      <c r="E69" s="3"/>
      <c r="I69" s="193"/>
      <c r="J69" s="3">
        <f>BACK!I56</f>
        <v>0</v>
      </c>
      <c r="K69" s="3" t="str">
        <f>BACK!BI56</f>
        <v/>
      </c>
      <c r="L69" s="3" t="str">
        <f t="shared" si="0"/>
        <v/>
      </c>
      <c r="M69" s="3"/>
    </row>
    <row r="70" spans="1:13" hidden="1" x14ac:dyDescent="0.3">
      <c r="A70" s="193"/>
      <c r="B70" s="35" t="b">
        <f>IF(BACK!A40="Core","Core",IF(BACK!A40="Applied","Applied",IF(BACK!A40="Specialized","Specialized",IF(BACK!A40="Other_Subjects","Other_Subjects"))))</f>
        <v>0</v>
      </c>
      <c r="C70" s="3"/>
      <c r="D70" s="3"/>
      <c r="E70" s="3"/>
      <c r="I70" s="193"/>
      <c r="J70" s="3">
        <f>BACK!I57</f>
        <v>0</v>
      </c>
      <c r="K70" s="3" t="str">
        <f>BACK!BI57</f>
        <v/>
      </c>
      <c r="L70" s="3" t="str">
        <f t="shared" si="0"/>
        <v/>
      </c>
      <c r="M70" s="3"/>
    </row>
    <row r="71" spans="1:13" hidden="1" x14ac:dyDescent="0.3">
      <c r="A71" s="193"/>
      <c r="B71" s="35" t="b">
        <f>IF(BACK!A41="Core","Core",IF(BACK!A41="Applied","Applied",IF(BACK!A41="Specialized","Specialized",IF(BACK!A41="Other_Subjects","Other_Subjects"))))</f>
        <v>0</v>
      </c>
      <c r="C71" s="3"/>
      <c r="D71" s="3"/>
      <c r="E71" s="3"/>
      <c r="I71" s="193"/>
      <c r="J71" s="3">
        <f>BACK!I58</f>
        <v>0</v>
      </c>
      <c r="K71" s="3" t="str">
        <f>BACK!BI58</f>
        <v/>
      </c>
      <c r="L71" s="3" t="str">
        <f t="shared" si="0"/>
        <v/>
      </c>
      <c r="M71" s="3"/>
    </row>
    <row r="72" spans="1:13" hidden="1" x14ac:dyDescent="0.3">
      <c r="A72" s="193"/>
      <c r="B72" s="35" t="b">
        <f>IF(BACK!A42="Core","Core",IF(BACK!A42="Applied","Applied",IF(BACK!A42="Specialized","Specialized",IF(BACK!A42="Other_Subjects","Other_Subjects"))))</f>
        <v>0</v>
      </c>
      <c r="C72" s="3"/>
      <c r="D72" s="3"/>
      <c r="E72" s="3"/>
      <c r="I72" s="193"/>
      <c r="J72" s="3">
        <f>BACK!I59</f>
        <v>0</v>
      </c>
      <c r="K72" s="3" t="str">
        <f>BACK!BI59</f>
        <v/>
      </c>
      <c r="L72" s="3" t="str">
        <f t="shared" ref="L72:L87" si="1">IF(K72="PASSED","∕","")</f>
        <v/>
      </c>
      <c r="M72" s="3"/>
    </row>
    <row r="73" spans="1:13" hidden="1" x14ac:dyDescent="0.3">
      <c r="A73" s="193"/>
      <c r="B73" s="35" t="b">
        <f>IF(BACK!A43="Core","Core",IF(BACK!A43="Applied","Applied",IF(BACK!A43="Specialized","Specialized",IF(BACK!A43="Other_Subjects","Other_Subjects"))))</f>
        <v>0</v>
      </c>
      <c r="C73" s="3"/>
      <c r="D73" s="3"/>
      <c r="E73" s="3"/>
      <c r="I73" s="193"/>
      <c r="J73" s="3">
        <f>BACK!I60</f>
        <v>0</v>
      </c>
      <c r="K73" s="3" t="str">
        <f>BACK!BI60</f>
        <v/>
      </c>
      <c r="L73" s="3" t="str">
        <f t="shared" si="1"/>
        <v/>
      </c>
      <c r="M73" s="3"/>
    </row>
    <row r="74" spans="1:13" hidden="1" x14ac:dyDescent="0.3">
      <c r="A74" s="193"/>
      <c r="B74" s="35" t="b">
        <f>IF(BACK!A44="Core","Core",IF(BACK!A44="Applied","Applied",IF(BACK!A44="Specialized","Specialized",IF(BACK!A44="Other_Subjects","Other_Subjects"))))</f>
        <v>0</v>
      </c>
      <c r="C74" s="3"/>
      <c r="D74" s="3"/>
      <c r="E74" s="3"/>
      <c r="I74" s="193"/>
      <c r="J74" s="3">
        <f>BACK!I61</f>
        <v>0</v>
      </c>
      <c r="K74" s="3" t="str">
        <f>BACK!BI61</f>
        <v/>
      </c>
      <c r="L74" s="16" t="str">
        <f t="shared" si="1"/>
        <v/>
      </c>
    </row>
    <row r="75" spans="1:13" hidden="1" x14ac:dyDescent="0.3">
      <c r="A75" s="193"/>
      <c r="B75" s="35" t="b">
        <f>IF(BACK!A45="Core","Core",IF(BACK!A45="Applied","Applied",IF(BACK!A45="Specialized","Specialized",IF(BACK!A45="Other_Subjects","Other_Subjects"))))</f>
        <v>0</v>
      </c>
      <c r="C75" s="3"/>
      <c r="D75" s="3"/>
      <c r="E75" s="3"/>
      <c r="I75" s="193"/>
      <c r="J75" s="3">
        <f>BACK!I62</f>
        <v>0</v>
      </c>
      <c r="K75" s="3" t="str">
        <f>BACK!BI62</f>
        <v/>
      </c>
      <c r="L75" s="16" t="str">
        <f t="shared" si="1"/>
        <v/>
      </c>
    </row>
    <row r="76" spans="1:13" hidden="1" x14ac:dyDescent="0.3">
      <c r="A76" s="193">
        <v>7</v>
      </c>
      <c r="B76" s="33" t="b">
        <f>IF(BACK!A54="Core","Core",IF(BACK!A54="Applied","Applied",IF(BACK!A54="Specialized","Specialized",IF(BACK!A54="Other_Subjects","Other_Subjects"))))</f>
        <v>0</v>
      </c>
      <c r="I76" s="193"/>
      <c r="J76" s="3">
        <f>BACK!I63</f>
        <v>0</v>
      </c>
      <c r="K76" s="3" t="str">
        <f>BACK!BI63</f>
        <v/>
      </c>
      <c r="L76" s="16" t="str">
        <f t="shared" si="1"/>
        <v/>
      </c>
    </row>
    <row r="77" spans="1:13" hidden="1" x14ac:dyDescent="0.3">
      <c r="A77" s="193"/>
      <c r="B77" s="35" t="b">
        <f>IF(BACK!A55="Core","Core",IF(BACK!A55="Applied","Applied",IF(BACK!A55="Specialized","Specialized",IF(BACK!A55="Other_Subjects","Other_Subjects"))))</f>
        <v>0</v>
      </c>
      <c r="I77" s="193"/>
      <c r="J77" s="3">
        <f>BACK!I64</f>
        <v>0</v>
      </c>
      <c r="K77" s="3" t="str">
        <f>BACK!BI64</f>
        <v/>
      </c>
      <c r="L77" s="16" t="str">
        <f t="shared" si="1"/>
        <v/>
      </c>
    </row>
    <row r="78" spans="1:13" hidden="1" x14ac:dyDescent="0.3">
      <c r="A78" s="193"/>
      <c r="B78" s="35" t="b">
        <f>IF(BACK!A56="Core","Core",IF(BACK!A56="Applied","Applied",IF(BACK!A56="Specialized","Specialized",IF(BACK!A56="Other_Subjects","Other_Subjects"))))</f>
        <v>0</v>
      </c>
      <c r="I78" s="193"/>
      <c r="J78" s="3">
        <f>BACK!I65</f>
        <v>0</v>
      </c>
      <c r="K78" s="3" t="str">
        <f>BACK!BI65</f>
        <v/>
      </c>
      <c r="L78" s="16" t="str">
        <f t="shared" si="1"/>
        <v/>
      </c>
    </row>
    <row r="79" spans="1:13" hidden="1" x14ac:dyDescent="0.3">
      <c r="A79" s="193"/>
      <c r="B79" s="35" t="b">
        <f>IF(BACK!A57="Core","Core",IF(BACK!A57="Applied","Applied",IF(BACK!A57="Specialized","Specialized",IF(BACK!A57="Other_Subjects","Other_Subjects"))))</f>
        <v>0</v>
      </c>
      <c r="I79" s="194">
        <v>8</v>
      </c>
      <c r="J79" s="3">
        <f>BACK!I81</f>
        <v>0</v>
      </c>
      <c r="K79" s="3" t="str">
        <f>BACK!BI81</f>
        <v/>
      </c>
      <c r="L79" s="16" t="str">
        <f t="shared" si="1"/>
        <v/>
      </c>
    </row>
    <row r="80" spans="1:13" hidden="1" x14ac:dyDescent="0.3">
      <c r="A80" s="193"/>
      <c r="B80" s="35" t="b">
        <f>IF(BACK!A58="Core","Core",IF(BACK!A58="Applied","Applied",IF(BACK!A58="Specialized","Specialized",IF(BACK!A58="Other_Subjects","Other_Subjects"))))</f>
        <v>0</v>
      </c>
      <c r="I80" s="194"/>
      <c r="J80" s="3">
        <f>BACK!I82</f>
        <v>0</v>
      </c>
      <c r="K80" s="3" t="str">
        <f>BACK!BI82</f>
        <v/>
      </c>
      <c r="L80" s="16" t="str">
        <f t="shared" si="1"/>
        <v/>
      </c>
    </row>
    <row r="81" spans="1:12" hidden="1" x14ac:dyDescent="0.3">
      <c r="A81" s="193"/>
      <c r="B81" s="35" t="b">
        <f>IF(BACK!A59="Core","Core",IF(BACK!A59="Applied","Applied",IF(BACK!A59="Specialized","Specialized",IF(BACK!A59="Other_Subjects","Other_Subjects"))))</f>
        <v>0</v>
      </c>
      <c r="I81" s="194"/>
      <c r="J81" s="3" t="e">
        <f>BACK!#REF!</f>
        <v>#REF!</v>
      </c>
      <c r="K81" s="3" t="e">
        <f>BACK!#REF!</f>
        <v>#REF!</v>
      </c>
      <c r="L81" s="16" t="e">
        <f t="shared" si="1"/>
        <v>#REF!</v>
      </c>
    </row>
    <row r="82" spans="1:12" hidden="1" x14ac:dyDescent="0.3">
      <c r="A82" s="193"/>
      <c r="B82" s="35" t="b">
        <f>IF(BACK!A60="Core","Core",IF(BACK!A60="Applied","Applied",IF(BACK!A60="Specialized","Specialized",IF(BACK!A60="Other_Subjects","Other_Subjects"))))</f>
        <v>0</v>
      </c>
      <c r="I82" s="194"/>
      <c r="J82" s="3" t="e">
        <f>BACK!#REF!</f>
        <v>#REF!</v>
      </c>
      <c r="K82" s="3" t="e">
        <f>BACK!#REF!</f>
        <v>#REF!</v>
      </c>
      <c r="L82" s="16" t="e">
        <f t="shared" si="1"/>
        <v>#REF!</v>
      </c>
    </row>
    <row r="83" spans="1:12" hidden="1" x14ac:dyDescent="0.3">
      <c r="A83" s="193"/>
      <c r="B83" s="35" t="b">
        <f>IF(BACK!A61="Core","Core",IF(BACK!A61="Applied","Applied",IF(BACK!A61="Specialized","Specialized",IF(BACK!A61="Other_Subjects","Other_Subjects"))))</f>
        <v>0</v>
      </c>
      <c r="I83" s="194"/>
      <c r="J83" s="3" t="e">
        <f>BACK!#REF!</f>
        <v>#REF!</v>
      </c>
      <c r="K83" s="3" t="e">
        <f>BACK!#REF!</f>
        <v>#REF!</v>
      </c>
      <c r="L83" s="16" t="e">
        <f t="shared" si="1"/>
        <v>#REF!</v>
      </c>
    </row>
    <row r="84" spans="1:12" hidden="1" x14ac:dyDescent="0.3">
      <c r="A84" s="193"/>
      <c r="B84" s="35" t="b">
        <f>IF(BACK!A62="Core","Core",IF(BACK!A62="Applied","Applied",IF(BACK!A62="Specialized","Specialized",IF(BACK!A62="Other_Subjects","Other_Subjects"))))</f>
        <v>0</v>
      </c>
      <c r="I84" s="194"/>
      <c r="J84" s="3" t="e">
        <f>BACK!#REF!</f>
        <v>#REF!</v>
      </c>
      <c r="K84" s="3" t="e">
        <f>BACK!#REF!</f>
        <v>#REF!</v>
      </c>
      <c r="L84" s="16" t="e">
        <f t="shared" si="1"/>
        <v>#REF!</v>
      </c>
    </row>
    <row r="85" spans="1:12" hidden="1" x14ac:dyDescent="0.3">
      <c r="A85" s="193"/>
      <c r="B85" s="35" t="b">
        <f>IF(BACK!A63="Core","Core",IF(BACK!A63="Applied","Applied",IF(BACK!A63="Specialized","Specialized",IF(BACK!A63="Other_Subjects","Other_Subjects"))))</f>
        <v>0</v>
      </c>
      <c r="I85" s="194"/>
      <c r="J85" s="3">
        <f>BACK!I83</f>
        <v>0</v>
      </c>
      <c r="K85" s="3" t="str">
        <f>BACK!BI83</f>
        <v/>
      </c>
      <c r="L85" s="16" t="str">
        <f t="shared" si="1"/>
        <v/>
      </c>
    </row>
    <row r="86" spans="1:12" hidden="1" x14ac:dyDescent="0.3">
      <c r="A86" s="193"/>
      <c r="B86" s="35" t="b">
        <f>IF(BACK!A64="Core","Core",IF(BACK!A64="Applied","Applied",IF(BACK!A64="Specialized","Specialized",IF(BACK!A64="Other_Subjects","Other_Subjects"))))</f>
        <v>0</v>
      </c>
      <c r="I86" s="194"/>
      <c r="J86" s="3">
        <f>BACK!I84</f>
        <v>0</v>
      </c>
      <c r="K86" s="3" t="str">
        <f>BACK!BI84</f>
        <v/>
      </c>
      <c r="L86" s="16" t="str">
        <f t="shared" si="1"/>
        <v/>
      </c>
    </row>
    <row r="87" spans="1:12" hidden="1" x14ac:dyDescent="0.3">
      <c r="A87" s="193"/>
      <c r="B87" s="35" t="b">
        <f>IF(BACK!A65="Core","Core",IF(BACK!A65="Applied","Applied",IF(BACK!A65="Specialized","Specialized",IF(BACK!A65="Other_Subjects","Other_Subjects"))))</f>
        <v>0</v>
      </c>
      <c r="L87" s="16" t="str">
        <f t="shared" si="1"/>
        <v/>
      </c>
    </row>
    <row r="88" spans="1:12" hidden="1" x14ac:dyDescent="0.3">
      <c r="A88" s="193">
        <v>8</v>
      </c>
      <c r="B88" s="33" t="b">
        <f>IF(BACK!A81="Core","Core",IF(BACK!A81="Applied","Applied",IF(BACK!A81="Specialized","Specialized",IF(BACK!A81="Other_Subjects","Other_Subjects"))))</f>
        <v>0</v>
      </c>
    </row>
    <row r="89" spans="1:12" hidden="1" x14ac:dyDescent="0.3">
      <c r="A89" s="193"/>
      <c r="B89" s="35" t="b">
        <f>IF(BACK!A82="Core","Core",IF(BACK!A82="Applied","Applied",IF(BACK!A82="Specialized","Specialized",IF(BACK!A82="Other_Subjects","Other_Subjects"))))</f>
        <v>0</v>
      </c>
    </row>
    <row r="90" spans="1:12" hidden="1" x14ac:dyDescent="0.3">
      <c r="A90" s="193"/>
      <c r="B90" s="35" t="e">
        <f>IF(BACK!#REF!="Core","Core",IF(BACK!#REF!="Applied","Applied",IF(BACK!#REF!="Specialized","Specialized",IF(BACK!#REF!="Other_Subjects","Other_Subjects"))))</f>
        <v>#REF!</v>
      </c>
    </row>
    <row r="91" spans="1:12" hidden="1" x14ac:dyDescent="0.3">
      <c r="A91" s="193"/>
      <c r="B91" s="35" t="e">
        <f>IF(BACK!#REF!="Core","Core",IF(BACK!#REF!="Applied","Applied",IF(BACK!#REF!="Specialized","Specialized",IF(BACK!#REF!="Other_Subjects","Other_Subjects"))))</f>
        <v>#REF!</v>
      </c>
    </row>
    <row r="92" spans="1:12" hidden="1" x14ac:dyDescent="0.3">
      <c r="A92" s="193"/>
      <c r="B92" s="35" t="e">
        <f>IF(BACK!#REF!="Core","Core",IF(BACK!#REF!="Applied","Applied",IF(BACK!#REF!="Specialized","Specialized",IF(BACK!#REF!="Other_Subjects","Other_Subjects"))))</f>
        <v>#REF!</v>
      </c>
    </row>
    <row r="93" spans="1:12" hidden="1" x14ac:dyDescent="0.3">
      <c r="A93" s="193"/>
      <c r="B93" s="35" t="e">
        <f>IF(BACK!#REF!="Core","Core",IF(BACK!#REF!="Applied","Applied",IF(BACK!#REF!="Specialized","Specialized",IF(BACK!#REF!="Other_Subjects","Other_Subjects"))))</f>
        <v>#REF!</v>
      </c>
    </row>
    <row r="94" spans="1:12" hidden="1" x14ac:dyDescent="0.3">
      <c r="A94" s="193"/>
      <c r="B94" s="35" t="b">
        <f>IF(BACK!A83="Core","Core",IF(BACK!A83="Applied","Applied",IF(BACK!A83="Specialized","Specialized",IF(BACK!A83="Other_Subjects","Other_Subjects"))))</f>
        <v>0</v>
      </c>
    </row>
    <row r="95" spans="1:12" hidden="1" x14ac:dyDescent="0.3">
      <c r="A95" s="193"/>
      <c r="B95" s="35" t="b">
        <f>IF(BACK!A84="Core","Core",IF(BACK!A84="Applied","Applied",IF(BACK!A84="Specialized","Specialized",IF(BACK!A84="Other_Subjects","Other_Subjects"))))</f>
        <v>0</v>
      </c>
    </row>
    <row r="96" spans="1:12" hidden="1" x14ac:dyDescent="0.3">
      <c r="A96" s="193"/>
      <c r="B96" s="35" t="b">
        <f>IF(BACK!A85="Core","Core",IF(BACK!A85="Applied","Applied",IF(BACK!A85="Specialized","Specialized",IF(BACK!A85="Other_Subjects","Other_Subjects"))))</f>
        <v>0</v>
      </c>
    </row>
    <row r="97" spans="1:2" hidden="1" x14ac:dyDescent="0.3">
      <c r="A97" s="193"/>
      <c r="B97" s="35" t="b">
        <f>IF(BACK!A86="Core","Core",IF(BACK!A86="Applied","Applied",IF(BACK!A86="Specialized","Specialized",IF(BACK!A86="Other_Subjects","Other_Subjects"))))</f>
        <v>0</v>
      </c>
    </row>
    <row r="98" spans="1:2" hidden="1" x14ac:dyDescent="0.3">
      <c r="A98" s="193"/>
      <c r="B98" s="35" t="b">
        <f>IF(BACK!A87="Core","Core",IF(BACK!A87="Applied","Applied",IF(BACK!A87="Specialized","Specialized",IF(BACK!A87="Other_Subjects","Other_Subjects"))))</f>
        <v>0</v>
      </c>
    </row>
    <row r="99" spans="1:2" hidden="1" x14ac:dyDescent="0.3">
      <c r="A99" s="193"/>
      <c r="B99" s="38" t="b">
        <f>IF(BACK!A88="Core","Core",IF(BACK!A88="Applied","Applied",IF(BACK!A88="Specialized","Specialized",IF(BACK!A88="Other_Subjects","Other_Subjects"))))</f>
        <v>0</v>
      </c>
    </row>
    <row r="100" spans="1:2" x14ac:dyDescent="0.3">
      <c r="A100" s="131"/>
    </row>
    <row r="101" spans="1:2" x14ac:dyDescent="0.3">
      <c r="A101" s="131"/>
    </row>
    <row r="102" spans="1:2" x14ac:dyDescent="0.3">
      <c r="A102" s="131"/>
    </row>
    <row r="103" spans="1:2" x14ac:dyDescent="0.3">
      <c r="A103" s="131"/>
    </row>
    <row r="104" spans="1:2" x14ac:dyDescent="0.3">
      <c r="A104" s="131"/>
    </row>
    <row r="105" spans="1:2" x14ac:dyDescent="0.3">
      <c r="A105" s="131"/>
    </row>
    <row r="106" spans="1:2" x14ac:dyDescent="0.3">
      <c r="A106" s="131"/>
    </row>
    <row r="107" spans="1:2" x14ac:dyDescent="0.3">
      <c r="A107" s="131"/>
    </row>
    <row r="108" spans="1:2" x14ac:dyDescent="0.3">
      <c r="A108" s="131"/>
    </row>
    <row r="109" spans="1:2" x14ac:dyDescent="0.3">
      <c r="A109" s="131"/>
    </row>
    <row r="110" spans="1:2" x14ac:dyDescent="0.3">
      <c r="A110" s="131"/>
    </row>
    <row r="111" spans="1:2" x14ac:dyDescent="0.3">
      <c r="A111" s="131"/>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YZ ELX</cp:lastModifiedBy>
  <cp:lastPrinted>2022-06-10T00:14:42Z</cp:lastPrinted>
  <dcterms:created xsi:type="dcterms:W3CDTF">2016-08-03T07:51:07Z</dcterms:created>
  <dcterms:modified xsi:type="dcterms:W3CDTF">2023-11-06T11:44:43Z</dcterms:modified>
</cp:coreProperties>
</file>