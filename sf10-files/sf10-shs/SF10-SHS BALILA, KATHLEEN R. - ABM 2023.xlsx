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8C50A73B-7B80-4991-87D1-F1C8C3A67128}"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<sst xmlns="http://schemas.openxmlformats.org/spreadsheetml/2006/main" count="365" uniqueCount="142">
  <si>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</si>
  <si>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</si>
  <si>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</si>
  <si>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</si>
  <si>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</si>
  <si>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</si>
  <si>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</si>
  <si>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</si>
  <si>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</si>
  <si>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</si>
  <si>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</si>
  <si>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</si>
  <si>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</si>
  <si>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</si>
  <si>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</si>
  <si>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</si>
  <si>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</si>
  <si>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</si>
  <si>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</si>
  <si>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</si>
  <si>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</si>
  <si>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</si>
  <si>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</si>
  <si>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</si>
  <si>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</si>
  <si>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</si>
  <si>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</si>
  <si>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</si>
  <si>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</si>
  <si>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</si>
  <si>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</si>
  <si>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</si>
  <si>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</si>
  <si>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</si>
  <si>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</si>
  <si>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</si>
  <si>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</si>
  <si>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</si>
  <si>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</si>
  <si>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</si>
  <si>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</si>
  <si>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</si>
  <si>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</si>
  <si>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</si>
  <si>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</si>
  <si>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</si>
  <si>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</si>
  <si>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</si>
  <si>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</si>
  <si>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</si>
  <si>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</si>
  <si>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</si>
  <si>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</si>
  <si>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</si>
  <si>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</si>
  <si>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</si>
  <si>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</si>
  <si>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</si>
  <si>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</si>
  <si>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</si>
  <si>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</si>
  <si>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</si>
  <si>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</si>
  <si>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</si>
  <si>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</si>
  <si>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</si>
  <si>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</si>
  <si>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</si>
  <si>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</si>
  <si>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</si>
  <si>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</si>
  <si>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</si>
  <si>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</si>
  <si>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</si>
  <si>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</si>
  <si>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</si>
  <si>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</si>
  <si>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</si>
  <si>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</si>
  <si>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</si>
  <si>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</si>
  <si>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</si>
  <si>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</si>
  <si>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</si>
  <si>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</si>
  <si>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</si>
  <si>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</si>
  <si>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</si>
  <si>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</si>
  <si>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</si>
  <si>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</si>
  <si>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</si>
  <si>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</si>
  <si>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</si>
  <si>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</si>
  <si>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</si>
  <si>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</si>
  <si>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</si>
  <si>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</si>
  <si>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</si>
  <si>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</si>
  <si>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</si>
  <si>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</si>
  <si>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</si>
  <si>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</si>
  <si>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</si>
  <si>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</si>
  <si>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</si>
  <si>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</si>
  <si>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</si>
  <si>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</si>
  <si>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</si>
  <si>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</si>
  <si>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</si>
  <si>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</si>
  <si>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</si>
  <si>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</si>
  <si>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</si>
  <si>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</si>
  <si>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</si>
  <si>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</si>
  <si>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</si>
  <si>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TRUSTWORTHY</t>
  </si>
  <si>
    <t>2021-2022</t>
  </si>
  <si>
    <t>INTEGRITY</t>
  </si>
  <si>
    <t>Fundamentals of Accountancy, Business and Management 1</t>
  </si>
  <si>
    <t>Business Mathematics</t>
  </si>
  <si>
    <t>Fundamentals of Accountancy, Business and Management 2</t>
  </si>
  <si>
    <t>Principles of Marketing</t>
  </si>
  <si>
    <t>Applied Economics</t>
  </si>
  <si>
    <t>Business Ethics and Social Responsibility</t>
  </si>
  <si>
    <t>Business Finance</t>
  </si>
  <si>
    <t>Works Immersion/Research/Career Advocacy/Culminating Activity</t>
  </si>
  <si>
    <t>2022-2023</t>
  </si>
  <si>
    <t>MARK JAY L. REAMON</t>
  </si>
  <si>
    <t>ACADEMIC EXCELLENCE AWARDEE (WITH HONORS)</t>
  </si>
  <si>
    <t>HILDA S. SECILLANO</t>
  </si>
  <si>
    <t>FEMALE</t>
  </si>
  <si>
    <t>BALILA</t>
  </si>
  <si>
    <t>KATHLEEN</t>
  </si>
  <si>
    <t>RAQUIN</t>
  </si>
  <si>
    <r>
      <rPr>
        <b/>
        <sz val="12"/>
        <color theme="1"/>
        <rFont val="Arial Narrow"/>
        <family val="2"/>
      </rPr>
      <t>REMARKS:</t>
    </r>
    <r>
      <rPr>
        <sz val="12"/>
        <color theme="1"/>
        <rFont val="Arial Narrow"/>
        <family val="2"/>
      </rPr>
      <t xml:space="preserve"> Copy for </t>
    </r>
    <r>
      <rPr>
        <b/>
        <i/>
        <sz val="12"/>
        <color theme="1"/>
        <rFont val="Arial Narrow"/>
        <family val="2"/>
      </rPr>
      <t>CITY COLLEGE OF CALAMBA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</si>
</sst>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25121</xdr:colOff>
      <xdr:row>46</xdr:row>
      <xdr:rowOff>58616</xdr:rowOff>
    </xdr:from>
    <xdr:to>
      <xdr:col>13</xdr:col>
      <xdr:colOff>41868</xdr:colOff>
      <xdr:row>48</xdr:row>
      <xdr:rowOff>33494</xdr:rowOff>
    </xdr:to>
    <xdr:pic>
      <xdr:nvPicPr>
        <xdr:cNvPr id="5" name="Picture 4">
          <a:extLst>
            <a:ext uri="{FF2B5EF4-FFF2-40B4-BE49-F238E27FC236}">
              <a16:creationId xmlns:a16="http://schemas.microsoft.com/office/drawing/2014/main" id="{1EC0CE49-CA45-42D1-8771-E6EE9BE3D3BA}"/>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88572" y="8340132"/>
          <a:ext cx="1457010" cy="376813"/>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251209</xdr:colOff>
      <xdr:row>89</xdr:row>
      <xdr:rowOff>83737</xdr:rowOff>
    </xdr:from>
    <xdr:to>
      <xdr:col>13</xdr:col>
      <xdr:colOff>8373</xdr:colOff>
      <xdr:row>91</xdr:row>
      <xdr:rowOff>58616</xdr:rowOff>
    </xdr:to>
    <xdr:pic>
      <xdr:nvPicPr>
        <xdr:cNvPr id="7" name="Picture 6">
          <a:extLst>
            <a:ext uri="{FF2B5EF4-FFF2-40B4-BE49-F238E27FC236}">
              <a16:creationId xmlns:a16="http://schemas.microsoft.com/office/drawing/2014/main" id="{B389C839-15C1-4BF0-BD90-43BDF52E8218}"/>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55077" y="16353693"/>
          <a:ext cx="1457010" cy="376813"/>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84" zoomScale="91" zoomScaleNormal="91" zoomScalePageLayoutView="125" workbookViewId="0">
      <selection activeCell="A87" sqref="A87:BO87"/>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138</v>
      </c>
      <c r="G8" s="113"/>
      <c r="H8" s="113"/>
      <c r="I8" s="113"/>
      <c r="J8" s="113"/>
      <c r="K8" s="113"/>
      <c r="L8" s="113"/>
      <c r="M8" s="113"/>
      <c r="N8" s="113"/>
      <c r="O8" s="113"/>
      <c r="P8" s="113"/>
      <c r="Q8" s="113"/>
      <c r="R8" s="113"/>
      <c r="S8" s="113"/>
      <c r="T8" s="133" t="s">
        <v>23</v>
      </c>
      <c r="U8" s="133"/>
      <c r="V8" s="133"/>
      <c r="W8" s="133"/>
      <c r="X8" s="133"/>
      <c r="Y8" s="113" t="s">
        <v>139</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140</v>
      </c>
      <c r="BA8" s="113"/>
      <c r="BB8" s="113"/>
      <c r="BC8" s="113"/>
      <c r="BD8" s="113"/>
      <c r="BE8" s="113"/>
      <c r="BF8" s="113"/>
      <c r="BG8" s="113"/>
      <c r="BH8" s="113"/>
      <c r="BI8" s="113"/>
      <c r="BJ8" s="113"/>
      <c r="BK8" s="113"/>
      <c r="BL8" s="113"/>
      <c r="BM8" s="113"/>
      <c r="BN8" s="113"/>
      <c r="BO8" s="113"/>
    </row>
    <row r="9" spans="1:67" x14ac:dyDescent="0.3">
      <c r="A9" s="125" t="s">
        <v>25</v>
      </c>
      <c r="B9" s="125"/>
      <c r="C9" s="134">
        <v>111798100022</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38572</v>
      </c>
      <c r="AB9" s="135"/>
      <c r="AC9" s="135"/>
      <c r="AD9" s="135"/>
      <c r="AE9" s="135"/>
      <c r="AF9" s="135"/>
      <c r="AG9" s="135"/>
      <c r="AH9" s="135"/>
      <c r="AI9" s="135"/>
      <c r="AJ9" s="135"/>
      <c r="AK9" s="135"/>
      <c r="AL9" s="136" t="s">
        <v>26</v>
      </c>
      <c r="AM9" s="136"/>
      <c r="AN9" s="110" t="s">
        <v>137</v>
      </c>
      <c r="AO9" s="110"/>
      <c r="AP9" s="110"/>
      <c r="AQ9" s="110"/>
      <c r="AR9" s="110"/>
      <c r="AS9" s="137" t="s">
        <v>30</v>
      </c>
      <c r="AT9" s="137"/>
      <c r="AU9" s="137"/>
      <c r="AV9" s="137"/>
      <c r="AW9" s="137"/>
      <c r="AX9" s="137"/>
      <c r="AY9" s="137"/>
      <c r="AZ9" s="137"/>
      <c r="BA9" s="137"/>
      <c r="BB9" s="137"/>
      <c r="BC9" s="137"/>
      <c r="BD9" s="137"/>
      <c r="BE9" s="137"/>
      <c r="BF9" s="137"/>
      <c r="BG9" s="137"/>
      <c r="BH9" s="138">
        <v>44421</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86</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44392</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121</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123</v>
      </c>
      <c r="BB23" s="111"/>
      <c r="BC23" s="111"/>
      <c r="BD23" s="111"/>
      <c r="BE23" s="111"/>
      <c r="BF23" s="111"/>
      <c r="BG23" s="111"/>
      <c r="BH23" s="112" t="s">
        <v>4</v>
      </c>
      <c r="BI23" s="112"/>
      <c r="BJ23" s="112"/>
      <c r="BK23" s="111" t="s">
        <v>112</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113</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124</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90</v>
      </c>
      <c r="AU31" s="59"/>
      <c r="AV31" s="59"/>
      <c r="AW31" s="59"/>
      <c r="AX31" s="59"/>
      <c r="AY31" s="59">
        <v>92</v>
      </c>
      <c r="AZ31" s="59"/>
      <c r="BA31" s="59"/>
      <c r="BB31" s="59"/>
      <c r="BC31" s="59"/>
      <c r="BD31" s="60">
        <f>IF(OR(AT31="",AY31=""),"",IF(ISERROR(ROUND(AVERAGE(AT31,AY31),0)),"",ROUND(AVERAGE(AT31,AY31),0)))</f>
        <v>91</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93</v>
      </c>
      <c r="AU32" s="59"/>
      <c r="AV32" s="59"/>
      <c r="AW32" s="59"/>
      <c r="AX32" s="59"/>
      <c r="AY32" s="59">
        <v>85</v>
      </c>
      <c r="AZ32" s="59"/>
      <c r="BA32" s="59"/>
      <c r="BB32" s="59"/>
      <c r="BC32" s="59"/>
      <c r="BD32" s="100">
        <f t="shared" ref="BD32:BD42" si="0">IF(OR(AT32="",AY32=""),"",IF(ISERROR(ROUND(AVERAGE(AT32,AY32),0)),"",ROUND(AVERAGE(AT32,AY32),0)))</f>
        <v>89</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10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90</v>
      </c>
      <c r="AU33" s="57"/>
      <c r="AV33" s="57"/>
      <c r="AW33" s="57"/>
      <c r="AX33" s="58"/>
      <c r="AY33" s="59">
        <v>92</v>
      </c>
      <c r="AZ33" s="59"/>
      <c r="BA33" s="59"/>
      <c r="BB33" s="59"/>
      <c r="BC33" s="59"/>
      <c r="BD33" s="100">
        <f t="shared" si="0"/>
        <v>91</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11</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90</v>
      </c>
      <c r="AU34" s="59"/>
      <c r="AV34" s="59"/>
      <c r="AW34" s="59"/>
      <c r="AX34" s="59"/>
      <c r="AY34" s="59">
        <v>91</v>
      </c>
      <c r="AZ34" s="59"/>
      <c r="BA34" s="59"/>
      <c r="BB34" s="59"/>
      <c r="BC34" s="59"/>
      <c r="BD34" s="100">
        <f t="shared" si="0"/>
        <v>91</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62</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84</v>
      </c>
      <c r="AU35" s="59"/>
      <c r="AV35" s="59"/>
      <c r="AW35" s="59"/>
      <c r="AX35" s="59"/>
      <c r="AY35" s="59">
        <v>92</v>
      </c>
      <c r="AZ35" s="59"/>
      <c r="BA35" s="59"/>
      <c r="BB35" s="59"/>
      <c r="BC35" s="59"/>
      <c r="BD35" s="100">
        <f t="shared" si="0"/>
        <v>88</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73</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91</v>
      </c>
      <c r="AU36" s="129"/>
      <c r="AV36" s="129"/>
      <c r="AW36" s="129"/>
      <c r="AX36" s="129"/>
      <c r="AY36" s="129">
        <v>92</v>
      </c>
      <c r="AZ36" s="129"/>
      <c r="BA36" s="129"/>
      <c r="BB36" s="129"/>
      <c r="BC36" s="129"/>
      <c r="BD36" s="100">
        <f t="shared" si="0"/>
        <v>92</v>
      </c>
      <c r="BE36" s="101"/>
      <c r="BF36" s="101"/>
      <c r="BG36" s="101"/>
      <c r="BH36" s="107"/>
      <c r="BI36" s="100" t="str">
        <f t="shared" si="1"/>
        <v>PASSED</v>
      </c>
      <c r="BJ36" s="101"/>
      <c r="BK36" s="101"/>
      <c r="BL36" s="101"/>
      <c r="BM36" s="101"/>
      <c r="BN36" s="101"/>
      <c r="BO36" s="102"/>
    </row>
    <row r="37" spans="1:67" ht="20.100000000000001" customHeight="1" x14ac:dyDescent="0.3">
      <c r="A37" s="56" t="s">
        <v>39</v>
      </c>
      <c r="B37" s="57"/>
      <c r="C37" s="57"/>
      <c r="D37" s="57"/>
      <c r="E37" s="57"/>
      <c r="F37" s="57"/>
      <c r="G37" s="57"/>
      <c r="H37" s="58"/>
      <c r="I37" s="62" t="s">
        <v>67</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90</v>
      </c>
      <c r="AU37" s="57"/>
      <c r="AV37" s="57"/>
      <c r="AW37" s="57"/>
      <c r="AX37" s="58"/>
      <c r="AY37" s="108">
        <v>92</v>
      </c>
      <c r="AZ37" s="57"/>
      <c r="BA37" s="57"/>
      <c r="BB37" s="57"/>
      <c r="BC37" s="58"/>
      <c r="BD37" s="100">
        <f t="shared" si="0"/>
        <v>91</v>
      </c>
      <c r="BE37" s="101"/>
      <c r="BF37" s="101"/>
      <c r="BG37" s="101"/>
      <c r="BH37" s="107"/>
      <c r="BI37" s="100" t="str">
        <f t="shared" si="1"/>
        <v>PASSED</v>
      </c>
      <c r="BJ37" s="101"/>
      <c r="BK37" s="101"/>
      <c r="BL37" s="101"/>
      <c r="BM37" s="101"/>
      <c r="BN37" s="101"/>
      <c r="BO37" s="102"/>
    </row>
    <row r="38" spans="1:67" ht="20.100000000000001" customHeight="1" x14ac:dyDescent="0.3">
      <c r="A38" s="56" t="s">
        <v>39</v>
      </c>
      <c r="B38" s="57"/>
      <c r="C38" s="57"/>
      <c r="D38" s="57"/>
      <c r="E38" s="57"/>
      <c r="F38" s="57"/>
      <c r="G38" s="57"/>
      <c r="H38" s="58"/>
      <c r="I38" s="62" t="s">
        <v>16</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90</v>
      </c>
      <c r="AU38" s="57"/>
      <c r="AV38" s="57"/>
      <c r="AW38" s="57"/>
      <c r="AX38" s="58"/>
      <c r="AY38" s="108">
        <v>90</v>
      </c>
      <c r="AZ38" s="57"/>
      <c r="BA38" s="57"/>
      <c r="BB38" s="57"/>
      <c r="BC38" s="58"/>
      <c r="BD38" s="100">
        <f t="shared" si="0"/>
        <v>90</v>
      </c>
      <c r="BE38" s="101"/>
      <c r="BF38" s="101"/>
      <c r="BG38" s="101"/>
      <c r="BH38" s="107"/>
      <c r="BI38" s="100" t="str">
        <f t="shared" si="1"/>
        <v>PASSED</v>
      </c>
      <c r="BJ38" s="101"/>
      <c r="BK38" s="101"/>
      <c r="BL38" s="101"/>
      <c r="BM38" s="101"/>
      <c r="BN38" s="101"/>
      <c r="BO38" s="102"/>
    </row>
    <row r="39" spans="1:67" ht="20.100000000000001" customHeight="1" x14ac:dyDescent="0.3">
      <c r="A39" s="56" t="s">
        <v>40</v>
      </c>
      <c r="B39" s="57"/>
      <c r="C39" s="57"/>
      <c r="D39" s="57"/>
      <c r="E39" s="57"/>
      <c r="F39" s="57"/>
      <c r="G39" s="57"/>
      <c r="H39" s="58"/>
      <c r="I39" s="62" t="s">
        <v>115</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v>90</v>
      </c>
      <c r="AU39" s="57"/>
      <c r="AV39" s="57"/>
      <c r="AW39" s="57"/>
      <c r="AX39" s="58"/>
      <c r="AY39" s="108">
        <v>93</v>
      </c>
      <c r="AZ39" s="57"/>
      <c r="BA39" s="57"/>
      <c r="BB39" s="57"/>
      <c r="BC39" s="58"/>
      <c r="BD39" s="100">
        <f t="shared" si="0"/>
        <v>92</v>
      </c>
      <c r="BE39" s="101"/>
      <c r="BF39" s="101"/>
      <c r="BG39" s="101"/>
      <c r="BH39" s="107"/>
      <c r="BI39" s="100" t="str">
        <f t="shared" si="1"/>
        <v>PASSED</v>
      </c>
      <c r="BJ39" s="101"/>
      <c r="BK39" s="101"/>
      <c r="BL39" s="101"/>
      <c r="BM39" s="101"/>
      <c r="BN39" s="101"/>
      <c r="BO39" s="102"/>
    </row>
    <row r="40" spans="1:67" ht="20.100000000000001" customHeight="1" x14ac:dyDescent="0.3">
      <c r="A40" s="56" t="s">
        <v>114</v>
      </c>
      <c r="B40" s="57"/>
      <c r="C40" s="57"/>
      <c r="D40" s="57"/>
      <c r="E40" s="57"/>
      <c r="F40" s="57"/>
      <c r="G40" s="57"/>
      <c r="H40" s="58"/>
      <c r="I40" s="62" t="s">
        <v>116</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91</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117</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119</v>
      </c>
      <c r="B49" s="97"/>
      <c r="C49" s="97"/>
      <c r="D49" s="97"/>
      <c r="E49" s="97"/>
      <c r="F49" s="97"/>
      <c r="G49" s="97"/>
      <c r="H49" s="97"/>
      <c r="I49" s="97"/>
      <c r="J49" s="97"/>
      <c r="K49" s="97"/>
      <c r="L49" s="97"/>
      <c r="M49" s="97"/>
      <c r="N49" s="97"/>
      <c r="O49" s="97"/>
      <c r="P49" s="97"/>
      <c r="Q49" s="97"/>
      <c r="R49" s="97"/>
      <c r="S49" s="97"/>
      <c r="T49" s="10"/>
      <c r="U49" s="10"/>
      <c r="V49" s="8"/>
      <c r="W49" s="8"/>
      <c r="X49" s="8"/>
      <c r="Y49" s="97" t="s">
        <v>118</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44653</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123</v>
      </c>
      <c r="BB66" s="111"/>
      <c r="BC66" s="111"/>
      <c r="BD66" s="111"/>
      <c r="BE66" s="111"/>
      <c r="BF66" s="111"/>
      <c r="BG66" s="111"/>
      <c r="BH66" s="112" t="s">
        <v>4</v>
      </c>
      <c r="BI66" s="112"/>
      <c r="BJ66" s="112"/>
      <c r="BK66" s="111" t="s">
        <v>120</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113</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124</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90</v>
      </c>
      <c r="AU74" s="59"/>
      <c r="AV74" s="59"/>
      <c r="AW74" s="59"/>
      <c r="AX74" s="59"/>
      <c r="AY74" s="59">
        <v>93</v>
      </c>
      <c r="AZ74" s="59"/>
      <c r="BA74" s="59"/>
      <c r="BB74" s="59"/>
      <c r="BC74" s="59"/>
      <c r="BD74" s="60">
        <f t="shared" ref="BD74" si="4">IF(OR(AT74="",AY74=""),"",IF(ISERROR(ROUND(AVERAGE(AT74,AY74),0)),"",ROUND(AVERAGE(AT74,AY74),0)))</f>
        <v>92</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90</v>
      </c>
      <c r="AU75" s="59"/>
      <c r="AV75" s="59"/>
      <c r="AW75" s="59"/>
      <c r="AX75" s="59"/>
      <c r="AY75" s="59">
        <v>91</v>
      </c>
      <c r="AZ75" s="59"/>
      <c r="BA75" s="59"/>
      <c r="BB75" s="59"/>
      <c r="BC75" s="59"/>
      <c r="BD75" s="100">
        <f t="shared" ref="BD75:BD85" si="6">IF(OR(AT75="",AY75=""),"",IF(ISERROR(ROUND(AVERAGE(AT75,AY75),0)),"",ROUND(AVERAGE(AT75,AY75),0)))</f>
        <v>91</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90</v>
      </c>
      <c r="AU76" s="59"/>
      <c r="AV76" s="59"/>
      <c r="AW76" s="59"/>
      <c r="AX76" s="59"/>
      <c r="AY76" s="59">
        <v>89</v>
      </c>
      <c r="AZ76" s="59"/>
      <c r="BA76" s="59"/>
      <c r="BB76" s="59"/>
      <c r="BC76" s="59"/>
      <c r="BD76" s="100">
        <f t="shared" si="6"/>
        <v>90</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90</v>
      </c>
      <c r="AU77" s="59"/>
      <c r="AV77" s="59"/>
      <c r="AW77" s="59"/>
      <c r="AX77" s="59"/>
      <c r="AY77" s="59">
        <v>92</v>
      </c>
      <c r="AZ77" s="59"/>
      <c r="BA77" s="59"/>
      <c r="BB77" s="59"/>
      <c r="BC77" s="59"/>
      <c r="BD77" s="100">
        <f t="shared" si="6"/>
        <v>91</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73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91</v>
      </c>
      <c r="AU78" s="59"/>
      <c r="AV78" s="59"/>
      <c r="AW78" s="59"/>
      <c r="AX78" s="59"/>
      <c r="AY78" s="59">
        <v>92</v>
      </c>
      <c r="AZ78" s="59"/>
      <c r="BA78" s="59"/>
      <c r="BB78" s="59"/>
      <c r="BC78" s="59"/>
      <c r="BD78" s="100">
        <f t="shared" si="6"/>
        <v>92</v>
      </c>
      <c r="BE78" s="101"/>
      <c r="BF78" s="101"/>
      <c r="BG78" s="101"/>
      <c r="BH78" s="107"/>
      <c r="BI78" s="60" t="str">
        <f t="shared" si="7"/>
        <v>PASSED</v>
      </c>
      <c r="BJ78" s="60"/>
      <c r="BK78" s="60"/>
      <c r="BL78" s="60"/>
      <c r="BM78" s="60"/>
      <c r="BN78" s="60"/>
      <c r="BO78" s="61"/>
    </row>
    <row r="79" spans="1:67" ht="20.100000000000001" customHeight="1" x14ac:dyDescent="0.3">
      <c r="A79" s="56" t="s">
        <v>39</v>
      </c>
      <c r="B79" s="57"/>
      <c r="C79" s="57"/>
      <c r="D79" s="57"/>
      <c r="E79" s="57"/>
      <c r="F79" s="57"/>
      <c r="G79" s="57"/>
      <c r="H79" s="58"/>
      <c r="I79" s="62" t="s">
        <v>19</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88</v>
      </c>
      <c r="AU79" s="129"/>
      <c r="AV79" s="129"/>
      <c r="AW79" s="129"/>
      <c r="AX79" s="129"/>
      <c r="AY79" s="129">
        <v>91</v>
      </c>
      <c r="AZ79" s="129"/>
      <c r="BA79" s="129"/>
      <c r="BB79" s="129"/>
      <c r="BC79" s="129"/>
      <c r="BD79" s="100">
        <f t="shared" si="6"/>
        <v>90</v>
      </c>
      <c r="BE79" s="101"/>
      <c r="BF79" s="101"/>
      <c r="BG79" s="101"/>
      <c r="BH79" s="107"/>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17</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89</v>
      </c>
      <c r="AU80" s="57"/>
      <c r="AV80" s="57"/>
      <c r="AW80" s="57"/>
      <c r="AX80" s="58"/>
      <c r="AY80" s="108">
        <v>91</v>
      </c>
      <c r="AZ80" s="57"/>
      <c r="BA80" s="57"/>
      <c r="BB80" s="57"/>
      <c r="BC80" s="58"/>
      <c r="BD80" s="100">
        <f t="shared" si="6"/>
        <v>90</v>
      </c>
      <c r="BE80" s="101"/>
      <c r="BF80" s="101"/>
      <c r="BG80" s="101"/>
      <c r="BH80" s="107"/>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125</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89</v>
      </c>
      <c r="AU81" s="57"/>
      <c r="AV81" s="57"/>
      <c r="AW81" s="57"/>
      <c r="AX81" s="58"/>
      <c r="AY81" s="108">
        <v>90</v>
      </c>
      <c r="AZ81" s="57"/>
      <c r="BA81" s="57"/>
      <c r="BB81" s="57"/>
      <c r="BC81" s="58"/>
      <c r="BD81" s="100">
        <f t="shared" si="6"/>
        <v>90</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126</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88</v>
      </c>
      <c r="AU82" s="57"/>
      <c r="AV82" s="57"/>
      <c r="AW82" s="57"/>
      <c r="AX82" s="58"/>
      <c r="AY82" s="108">
        <v>91</v>
      </c>
      <c r="AZ82" s="57"/>
      <c r="BA82" s="57"/>
      <c r="BB82" s="57"/>
      <c r="BC82" s="58"/>
      <c r="BD82" s="100">
        <f t="shared" si="6"/>
        <v>90</v>
      </c>
      <c r="BE82" s="101"/>
      <c r="BF82" s="101"/>
      <c r="BG82" s="101"/>
      <c r="BH82" s="107"/>
      <c r="BI82" s="60" t="str">
        <f t="shared" si="7"/>
        <v>PASSED</v>
      </c>
      <c r="BJ82" s="60"/>
      <c r="BK82" s="60"/>
      <c r="BL82" s="60"/>
      <c r="BM82" s="60"/>
      <c r="BN82" s="60"/>
      <c r="BO82" s="61"/>
    </row>
    <row r="83" spans="1:67" ht="20.100000000000001" customHeight="1" x14ac:dyDescent="0.3">
      <c r="A83" s="56" t="s">
        <v>114</v>
      </c>
      <c r="B83" s="57"/>
      <c r="C83" s="57"/>
      <c r="D83" s="57"/>
      <c r="E83" s="57"/>
      <c r="F83" s="57"/>
      <c r="G83" s="57"/>
      <c r="H83" s="58"/>
      <c r="I83" s="62" t="s">
        <v>116</v>
      </c>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91</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117</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119</v>
      </c>
      <c r="B92" s="97"/>
      <c r="C92" s="97"/>
      <c r="D92" s="97"/>
      <c r="E92" s="97"/>
      <c r="F92" s="97"/>
      <c r="G92" s="97"/>
      <c r="H92" s="97"/>
      <c r="I92" s="97"/>
      <c r="J92" s="97"/>
      <c r="K92" s="97"/>
      <c r="L92" s="97"/>
      <c r="M92" s="97"/>
      <c r="N92" s="97"/>
      <c r="O92" s="97"/>
      <c r="P92" s="97"/>
      <c r="Q92" s="97"/>
      <c r="R92" s="97"/>
      <c r="S92" s="97"/>
      <c r="T92" s="10"/>
      <c r="U92" s="10"/>
      <c r="V92" s="8"/>
      <c r="W92" s="8"/>
      <c r="X92" s="8"/>
      <c r="Y92" s="97" t="s">
        <v>118</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44736</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xWindow="1118" yWindow="901"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xWindow="1118" yWindow="901"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6"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BALILA,  KATHLEEN  RAQUIN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133</v>
      </c>
      <c r="BB4" s="111"/>
      <c r="BC4" s="111"/>
      <c r="BD4" s="111"/>
      <c r="BE4" s="111"/>
      <c r="BF4" s="111"/>
      <c r="BG4" s="111"/>
      <c r="BH4" s="112" t="s">
        <v>4</v>
      </c>
      <c r="BI4" s="112"/>
      <c r="BJ4" s="112"/>
      <c r="BK4" s="111" t="s">
        <v>112</v>
      </c>
      <c r="BL4" s="111"/>
      <c r="BM4" s="111"/>
      <c r="BN4" s="111"/>
      <c r="BO4" s="111"/>
    </row>
    <row r="5" spans="1:67" x14ac:dyDescent="0.3">
      <c r="A5" s="67" t="s">
        <v>37</v>
      </c>
      <c r="B5" s="67"/>
      <c r="C5" s="67"/>
      <c r="D5" s="67"/>
      <c r="E5" s="67"/>
      <c r="F5" s="67"/>
      <c r="G5" s="110" t="s">
        <v>113</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122</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92</v>
      </c>
      <c r="AU11" s="59"/>
      <c r="AV11" s="59"/>
      <c r="AW11" s="59"/>
      <c r="AX11" s="59"/>
      <c r="AY11" s="59">
        <v>95</v>
      </c>
      <c r="AZ11" s="59"/>
      <c r="BA11" s="59"/>
      <c r="BB11" s="59"/>
      <c r="BC11" s="59"/>
      <c r="BD11" s="60">
        <f t="shared" ref="BD11" si="0">IF(OR(AT11="",AY11=""),"",IF(ISERROR(ROUND(AVERAGE(AT11,AY11),0)),"",ROUND(AVERAGE(AT11,AY11),0)))</f>
        <v>94</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90</v>
      </c>
      <c r="AU12" s="59"/>
      <c r="AV12" s="59"/>
      <c r="AW12" s="59"/>
      <c r="AX12" s="59"/>
      <c r="AY12" s="59">
        <v>90</v>
      </c>
      <c r="AZ12" s="59"/>
      <c r="BA12" s="59"/>
      <c r="BB12" s="59"/>
      <c r="BC12" s="59"/>
      <c r="BD12" s="60">
        <f t="shared" ref="BD12:BD22" si="2">IF(OR(AT12="",AY12=""),"",IF(ISERROR(ROUND(AVERAGE(AT12,AY12),0)),"",ROUND(AVERAGE(AT12,AY12),0)))</f>
        <v>90</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38</v>
      </c>
      <c r="B13" s="57"/>
      <c r="C13" s="57"/>
      <c r="D13" s="57"/>
      <c r="E13" s="57"/>
      <c r="F13" s="57"/>
      <c r="G13" s="57"/>
      <c r="H13" s="58"/>
      <c r="I13" s="62" t="s">
        <v>63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92</v>
      </c>
      <c r="AU13" s="59"/>
      <c r="AV13" s="59"/>
      <c r="AW13" s="59"/>
      <c r="AX13" s="59"/>
      <c r="AY13" s="59">
        <v>89</v>
      </c>
      <c r="AZ13" s="59"/>
      <c r="BA13" s="59"/>
      <c r="BB13" s="59"/>
      <c r="BC13" s="59"/>
      <c r="BD13" s="60">
        <f t="shared" si="2"/>
        <v>91</v>
      </c>
      <c r="BE13" s="60"/>
      <c r="BF13" s="60"/>
      <c r="BG13" s="60"/>
      <c r="BH13" s="60"/>
      <c r="BI13" s="100" t="str">
        <f t="shared" si="3"/>
        <v>PASSED</v>
      </c>
      <c r="BJ13" s="101"/>
      <c r="BK13" s="101"/>
      <c r="BL13" s="101"/>
      <c r="BM13" s="101"/>
      <c r="BN13" s="101"/>
      <c r="BO13" s="102"/>
    </row>
    <row r="14" spans="1:67" ht="20.100000000000001" customHeight="1" x14ac:dyDescent="0.3">
      <c r="A14" s="56" t="s">
        <v>38</v>
      </c>
      <c r="B14" s="57"/>
      <c r="C14" s="57"/>
      <c r="D14" s="57"/>
      <c r="E14" s="57"/>
      <c r="F14" s="57"/>
      <c r="G14" s="57"/>
      <c r="H14" s="58"/>
      <c r="I14" s="62" t="s">
        <v>64</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94</v>
      </c>
      <c r="AU14" s="59"/>
      <c r="AV14" s="59"/>
      <c r="AW14" s="59"/>
      <c r="AX14" s="59"/>
      <c r="AY14" s="59">
        <v>95</v>
      </c>
      <c r="AZ14" s="59"/>
      <c r="BA14" s="59"/>
      <c r="BB14" s="59"/>
      <c r="BC14" s="59"/>
      <c r="BD14" s="60">
        <f t="shared" si="2"/>
        <v>95</v>
      </c>
      <c r="BE14" s="60"/>
      <c r="BF14" s="60"/>
      <c r="BG14" s="60"/>
      <c r="BH14" s="60"/>
      <c r="BI14" s="100" t="str">
        <f t="shared" si="3"/>
        <v>PASSED</v>
      </c>
      <c r="BJ14" s="101"/>
      <c r="BK14" s="101"/>
      <c r="BL14" s="101"/>
      <c r="BM14" s="101"/>
      <c r="BN14" s="101"/>
      <c r="BO14" s="102"/>
    </row>
    <row r="15" spans="1:67" ht="20.100000000000001" customHeight="1" x14ac:dyDescent="0.3">
      <c r="A15" s="56" t="s">
        <v>38</v>
      </c>
      <c r="B15" s="57"/>
      <c r="C15" s="57"/>
      <c r="D15" s="57"/>
      <c r="E15" s="57"/>
      <c r="F15" s="57"/>
      <c r="G15" s="57"/>
      <c r="H15" s="58"/>
      <c r="I15" s="62" t="s">
        <v>73</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92</v>
      </c>
      <c r="AU15" s="129"/>
      <c r="AV15" s="129"/>
      <c r="AW15" s="129"/>
      <c r="AX15" s="129"/>
      <c r="AY15" s="129">
        <v>92</v>
      </c>
      <c r="AZ15" s="129"/>
      <c r="BA15" s="129"/>
      <c r="BB15" s="129"/>
      <c r="BC15" s="129"/>
      <c r="BD15" s="60">
        <f t="shared" si="2"/>
        <v>92</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88</v>
      </c>
      <c r="AU16" s="57"/>
      <c r="AV16" s="57"/>
      <c r="AW16" s="57"/>
      <c r="AX16" s="58"/>
      <c r="AY16" s="108">
        <v>90</v>
      </c>
      <c r="AZ16" s="57"/>
      <c r="BA16" s="57"/>
      <c r="BB16" s="57"/>
      <c r="BC16" s="58"/>
      <c r="BD16" s="60">
        <f t="shared" si="2"/>
        <v>89</v>
      </c>
      <c r="BE16" s="60"/>
      <c r="BF16" s="60"/>
      <c r="BG16" s="60"/>
      <c r="BH16" s="60"/>
      <c r="BI16" s="100" t="str">
        <f t="shared" si="3"/>
        <v>PASSED</v>
      </c>
      <c r="BJ16" s="101"/>
      <c r="BK16" s="101"/>
      <c r="BL16" s="101"/>
      <c r="BM16" s="101"/>
      <c r="BN16" s="101"/>
      <c r="BO16" s="102"/>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92</v>
      </c>
      <c r="AU17" s="57"/>
      <c r="AV17" s="57"/>
      <c r="AW17" s="57"/>
      <c r="AX17" s="58"/>
      <c r="AY17" s="108">
        <v>92</v>
      </c>
      <c r="AZ17" s="57"/>
      <c r="BA17" s="57"/>
      <c r="BB17" s="57"/>
      <c r="BC17" s="58"/>
      <c r="BD17" s="60">
        <f t="shared" si="2"/>
        <v>92</v>
      </c>
      <c r="BE17" s="60"/>
      <c r="BF17" s="60"/>
      <c r="BG17" s="60"/>
      <c r="BH17" s="60"/>
      <c r="BI17" s="100" t="str">
        <f t="shared" si="3"/>
        <v>PASSED</v>
      </c>
      <c r="BJ17" s="101"/>
      <c r="BK17" s="101"/>
      <c r="BL17" s="101"/>
      <c r="BM17" s="101"/>
      <c r="BN17" s="101"/>
      <c r="BO17" s="102"/>
    </row>
    <row r="18" spans="1:67" ht="20.100000000000001" customHeight="1" x14ac:dyDescent="0.3">
      <c r="A18" s="56" t="s">
        <v>40</v>
      </c>
      <c r="B18" s="57"/>
      <c r="C18" s="57"/>
      <c r="D18" s="57"/>
      <c r="E18" s="57"/>
      <c r="F18" s="57"/>
      <c r="G18" s="57"/>
      <c r="H18" s="58"/>
      <c r="I18" s="62" t="s">
        <v>127</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v>92</v>
      </c>
      <c r="AU18" s="57"/>
      <c r="AV18" s="57"/>
      <c r="AW18" s="57"/>
      <c r="AX18" s="58"/>
      <c r="AY18" s="108">
        <v>95</v>
      </c>
      <c r="AZ18" s="57"/>
      <c r="BA18" s="57"/>
      <c r="BB18" s="57"/>
      <c r="BC18" s="58"/>
      <c r="BD18" s="60">
        <f t="shared" si="2"/>
        <v>94</v>
      </c>
      <c r="BE18" s="60"/>
      <c r="BF18" s="60"/>
      <c r="BG18" s="60"/>
      <c r="BH18" s="60"/>
      <c r="BI18" s="100" t="str">
        <f t="shared" si="3"/>
        <v>PASSED</v>
      </c>
      <c r="BJ18" s="101"/>
      <c r="BK18" s="101"/>
      <c r="BL18" s="101"/>
      <c r="BM18" s="101"/>
      <c r="BN18" s="101"/>
      <c r="BO18" s="102"/>
    </row>
    <row r="19" spans="1:67" ht="20.100000000000001" customHeight="1" x14ac:dyDescent="0.3">
      <c r="A19" s="56" t="s">
        <v>40</v>
      </c>
      <c r="B19" s="57"/>
      <c r="C19" s="57"/>
      <c r="D19" s="57"/>
      <c r="E19" s="57"/>
      <c r="F19" s="57"/>
      <c r="G19" s="57"/>
      <c r="H19" s="58"/>
      <c r="I19" s="62" t="s">
        <v>128</v>
      </c>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v>93</v>
      </c>
      <c r="AU19" s="57"/>
      <c r="AV19" s="57"/>
      <c r="AW19" s="57"/>
      <c r="AX19" s="58"/>
      <c r="AY19" s="108">
        <v>95</v>
      </c>
      <c r="AZ19" s="57"/>
      <c r="BA19" s="57"/>
      <c r="BB19" s="57"/>
      <c r="BC19" s="58"/>
      <c r="BD19" s="60">
        <f t="shared" si="2"/>
        <v>94</v>
      </c>
      <c r="BE19" s="60"/>
      <c r="BF19" s="60"/>
      <c r="BG19" s="60"/>
      <c r="BH19" s="60"/>
      <c r="BI19" s="100" t="str">
        <f t="shared" si="3"/>
        <v>PASSED</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92</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117</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134</v>
      </c>
      <c r="B29" s="97"/>
      <c r="C29" s="97"/>
      <c r="D29" s="97"/>
      <c r="E29" s="97"/>
      <c r="F29" s="97"/>
      <c r="G29" s="97"/>
      <c r="H29" s="97"/>
      <c r="I29" s="97"/>
      <c r="J29" s="97"/>
      <c r="K29" s="97"/>
      <c r="L29" s="97"/>
      <c r="M29" s="97"/>
      <c r="N29" s="97"/>
      <c r="O29" s="97"/>
      <c r="P29" s="97"/>
      <c r="Q29" s="97"/>
      <c r="R29" s="97"/>
      <c r="S29" s="97"/>
      <c r="T29" s="10"/>
      <c r="U29" s="10"/>
      <c r="V29" s="8"/>
      <c r="W29" s="8"/>
      <c r="X29" s="8"/>
      <c r="Y29" s="97" t="s">
        <v>118</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44974</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133</v>
      </c>
      <c r="BB46" s="111"/>
      <c r="BC46" s="111"/>
      <c r="BD46" s="111"/>
      <c r="BE46" s="111"/>
      <c r="BF46" s="111"/>
      <c r="BG46" s="111"/>
      <c r="BH46" s="112" t="s">
        <v>4</v>
      </c>
      <c r="BI46" s="112"/>
      <c r="BJ46" s="112"/>
      <c r="BK46" s="111" t="s">
        <v>120</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113</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122</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59</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91</v>
      </c>
      <c r="AU54" s="57"/>
      <c r="AV54" s="57"/>
      <c r="AW54" s="57"/>
      <c r="AX54" s="58"/>
      <c r="AY54" s="108">
        <v>90</v>
      </c>
      <c r="AZ54" s="57"/>
      <c r="BA54" s="57"/>
      <c r="BB54" s="57"/>
      <c r="BC54" s="58"/>
      <c r="BD54" s="60">
        <f t="shared" ref="BD54" si="6">IF(OR(AT54="",AY54=""),"",IF(ISERROR(ROUND(AVERAGE(AT54,AY54),0)),"",ROUND(AVERAGE(AT54,AY54),0)))</f>
        <v>91</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38</v>
      </c>
      <c r="B55" s="57"/>
      <c r="C55" s="57"/>
      <c r="D55" s="57"/>
      <c r="E55" s="57"/>
      <c r="F55" s="57"/>
      <c r="G55" s="57"/>
      <c r="H55" s="58"/>
      <c r="I55" s="62" t="s">
        <v>73</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90</v>
      </c>
      <c r="AU55" s="57"/>
      <c r="AV55" s="57"/>
      <c r="AW55" s="57"/>
      <c r="AX55" s="58"/>
      <c r="AY55" s="108">
        <v>92</v>
      </c>
      <c r="AZ55" s="57"/>
      <c r="BA55" s="57"/>
      <c r="BB55" s="57"/>
      <c r="BC55" s="58"/>
      <c r="BD55" s="100">
        <f t="shared" ref="BD55:BD65" si="8">IF(OR(AT55="",AY55=""),"",IF(ISERROR(ROUND(AVERAGE(AT55,AY55),0)),"",ROUND(AVERAGE(AT55,AY55),0)))</f>
        <v>91</v>
      </c>
      <c r="BE55" s="101"/>
      <c r="BF55" s="101"/>
      <c r="BG55" s="101"/>
      <c r="BH55" s="107"/>
      <c r="BI55" s="100" t="str">
        <f t="shared" ref="BI55:BI65" si="9">IF(OR(AT55="",AY55="",BD55=""),"",IF(BD55&gt;=75,"PASSED","FAILED"))</f>
        <v>PASSED</v>
      </c>
      <c r="BJ55" s="101"/>
      <c r="BK55" s="101"/>
      <c r="BL55" s="101"/>
      <c r="BM55" s="101"/>
      <c r="BN55" s="101"/>
      <c r="BO55" s="102"/>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93</v>
      </c>
      <c r="AU56" s="57"/>
      <c r="AV56" s="57"/>
      <c r="AW56" s="57"/>
      <c r="AX56" s="58"/>
      <c r="AY56" s="108">
        <v>91</v>
      </c>
      <c r="AZ56" s="57"/>
      <c r="BA56" s="57"/>
      <c r="BB56" s="57"/>
      <c r="BC56" s="58"/>
      <c r="BD56" s="100">
        <f t="shared" si="8"/>
        <v>92</v>
      </c>
      <c r="BE56" s="101"/>
      <c r="BF56" s="101"/>
      <c r="BG56" s="101"/>
      <c r="BH56" s="107"/>
      <c r="BI56" s="100" t="str">
        <f t="shared" si="9"/>
        <v>PASSED</v>
      </c>
      <c r="BJ56" s="101"/>
      <c r="BK56" s="101"/>
      <c r="BL56" s="101"/>
      <c r="BM56" s="101"/>
      <c r="BN56" s="101"/>
      <c r="BO56" s="102"/>
    </row>
    <row r="57" spans="1:67" ht="20.100000000000001" customHeight="1" x14ac:dyDescent="0.3">
      <c r="A57" s="56" t="s">
        <v>40</v>
      </c>
      <c r="B57" s="57"/>
      <c r="C57" s="57"/>
      <c r="D57" s="57"/>
      <c r="E57" s="57"/>
      <c r="F57" s="57"/>
      <c r="G57" s="57"/>
      <c r="H57" s="58"/>
      <c r="I57" s="62" t="s">
        <v>129</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94</v>
      </c>
      <c r="AU57" s="57"/>
      <c r="AV57" s="57"/>
      <c r="AW57" s="57"/>
      <c r="AX57" s="58"/>
      <c r="AY57" s="108">
        <v>93</v>
      </c>
      <c r="AZ57" s="57"/>
      <c r="BA57" s="57"/>
      <c r="BB57" s="57"/>
      <c r="BC57" s="58"/>
      <c r="BD57" s="100">
        <f t="shared" si="8"/>
        <v>94</v>
      </c>
      <c r="BE57" s="101"/>
      <c r="BF57" s="101"/>
      <c r="BG57" s="101"/>
      <c r="BH57" s="107"/>
      <c r="BI57" s="100" t="str">
        <f t="shared" si="9"/>
        <v>PASSED</v>
      </c>
      <c r="BJ57" s="101"/>
      <c r="BK57" s="101"/>
      <c r="BL57" s="101"/>
      <c r="BM57" s="101"/>
      <c r="BN57" s="101"/>
      <c r="BO57" s="102"/>
    </row>
    <row r="58" spans="1:67" ht="20.100000000000001" customHeight="1" x14ac:dyDescent="0.3">
      <c r="A58" s="56" t="s">
        <v>40</v>
      </c>
      <c r="B58" s="57"/>
      <c r="C58" s="57"/>
      <c r="D58" s="57"/>
      <c r="E58" s="57"/>
      <c r="F58" s="57"/>
      <c r="G58" s="57"/>
      <c r="H58" s="58"/>
      <c r="I58" s="62" t="s">
        <v>130</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94</v>
      </c>
      <c r="AU58" s="57"/>
      <c r="AV58" s="57"/>
      <c r="AW58" s="57"/>
      <c r="AX58" s="58"/>
      <c r="AY58" s="108">
        <v>92</v>
      </c>
      <c r="AZ58" s="57"/>
      <c r="BA58" s="57"/>
      <c r="BB58" s="57"/>
      <c r="BC58" s="58"/>
      <c r="BD58" s="100">
        <f t="shared" si="8"/>
        <v>93</v>
      </c>
      <c r="BE58" s="101"/>
      <c r="BF58" s="101"/>
      <c r="BG58" s="101"/>
      <c r="BH58" s="107"/>
      <c r="BI58" s="100" t="str">
        <f t="shared" si="9"/>
        <v>PASSED</v>
      </c>
      <c r="BJ58" s="101"/>
      <c r="BK58" s="101"/>
      <c r="BL58" s="101"/>
      <c r="BM58" s="101"/>
      <c r="BN58" s="101"/>
      <c r="BO58" s="102"/>
    </row>
    <row r="59" spans="1:67" ht="20.100000000000001" customHeight="1" x14ac:dyDescent="0.3">
      <c r="A59" s="56" t="s">
        <v>40</v>
      </c>
      <c r="B59" s="57"/>
      <c r="C59" s="57"/>
      <c r="D59" s="57"/>
      <c r="E59" s="57"/>
      <c r="F59" s="57"/>
      <c r="G59" s="57"/>
      <c r="H59" s="58"/>
      <c r="I59" s="62" t="s">
        <v>131</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v>91</v>
      </c>
      <c r="AU59" s="57"/>
      <c r="AV59" s="57"/>
      <c r="AW59" s="57"/>
      <c r="AX59" s="58"/>
      <c r="AY59" s="108">
        <v>91</v>
      </c>
      <c r="AZ59" s="57"/>
      <c r="BA59" s="57"/>
      <c r="BB59" s="57"/>
      <c r="BC59" s="58"/>
      <c r="BD59" s="100">
        <f t="shared" si="8"/>
        <v>91</v>
      </c>
      <c r="BE59" s="101"/>
      <c r="BF59" s="101"/>
      <c r="BG59" s="101"/>
      <c r="BH59" s="107"/>
      <c r="BI59" s="100" t="str">
        <f t="shared" si="9"/>
        <v>PASSED</v>
      </c>
      <c r="BJ59" s="101"/>
      <c r="BK59" s="101"/>
      <c r="BL59" s="101"/>
      <c r="BM59" s="101"/>
      <c r="BN59" s="101"/>
      <c r="BO59" s="102"/>
    </row>
    <row r="60" spans="1:67" ht="20.100000000000001" customHeight="1" x14ac:dyDescent="0.3">
      <c r="A60" s="56" t="s">
        <v>40</v>
      </c>
      <c r="B60" s="57"/>
      <c r="C60" s="57"/>
      <c r="D60" s="57"/>
      <c r="E60" s="57"/>
      <c r="F60" s="57"/>
      <c r="G60" s="57"/>
      <c r="H60" s="58"/>
      <c r="I60" s="62" t="s">
        <v>132</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v>91</v>
      </c>
      <c r="AU60" s="57"/>
      <c r="AV60" s="57"/>
      <c r="AW60" s="57"/>
      <c r="AX60" s="58"/>
      <c r="AY60" s="108">
        <v>90</v>
      </c>
      <c r="AZ60" s="57"/>
      <c r="BA60" s="57"/>
      <c r="BB60" s="57"/>
      <c r="BC60" s="58"/>
      <c r="BD60" s="100">
        <f t="shared" si="8"/>
        <v>91</v>
      </c>
      <c r="BE60" s="101"/>
      <c r="BF60" s="101"/>
      <c r="BG60" s="101"/>
      <c r="BH60" s="107"/>
      <c r="BI60" s="100" t="str">
        <f t="shared" si="9"/>
        <v>PASSED</v>
      </c>
      <c r="BJ60" s="101"/>
      <c r="BK60" s="101"/>
      <c r="BL60" s="101"/>
      <c r="BM60" s="101"/>
      <c r="BN60" s="101"/>
      <c r="BO60" s="102"/>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c r="AU61" s="57"/>
      <c r="AV61" s="57"/>
      <c r="AW61" s="57"/>
      <c r="AX61" s="58"/>
      <c r="AY61" s="108"/>
      <c r="AZ61" s="57"/>
      <c r="BA61" s="57"/>
      <c r="BB61" s="57"/>
      <c r="BC61" s="58"/>
      <c r="BD61" s="100" t="str">
        <f t="shared" si="8"/>
        <v/>
      </c>
      <c r="BE61" s="101"/>
      <c r="BF61" s="101"/>
      <c r="BG61" s="101"/>
      <c r="BH61" s="107"/>
      <c r="BI61" s="100" t="str">
        <f t="shared" si="9"/>
        <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9"/>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9"/>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9"/>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9"/>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f>IFERROR(ROUND((SUM(BD54:BD65,BD81:BD84)-SUM(AT81:AT84))/(COUNTA(BD54:BD65)-COUNTBLANK(BD54:BD65)),0),"")</f>
        <v>92</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117</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134</v>
      </c>
      <c r="B72" s="97"/>
      <c r="C72" s="97"/>
      <c r="D72" s="97"/>
      <c r="E72" s="97"/>
      <c r="F72" s="97"/>
      <c r="G72" s="97"/>
      <c r="H72" s="97"/>
      <c r="I72" s="97"/>
      <c r="J72" s="97"/>
      <c r="K72" s="97"/>
      <c r="L72" s="97"/>
      <c r="M72" s="97"/>
      <c r="N72" s="97"/>
      <c r="O72" s="97"/>
      <c r="P72" s="97"/>
      <c r="Q72" s="97"/>
      <c r="R72" s="97"/>
      <c r="S72" s="97"/>
      <c r="T72" s="10"/>
      <c r="U72" s="10"/>
      <c r="V72" s="8"/>
      <c r="W72" s="8"/>
      <c r="X72" s="8"/>
      <c r="Y72" s="97" t="s">
        <v>118</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45109</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10"/>
        <v/>
      </c>
      <c r="BE84" s="142"/>
      <c r="BF84" s="142"/>
      <c r="BG84" s="142"/>
      <c r="BH84" s="142"/>
      <c r="BI84" s="142" t="str">
        <f t="shared" si="11"/>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97" t="s">
        <v>113</v>
      </c>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112" t="s">
        <v>51</v>
      </c>
      <c r="BC90" s="112"/>
      <c r="BD90" s="112"/>
      <c r="BE90" s="112"/>
      <c r="BF90" s="112"/>
      <c r="BG90" s="112"/>
      <c r="BH90" s="112"/>
      <c r="BI90" s="112"/>
      <c r="BJ90" s="112"/>
      <c r="BK90" s="175">
        <f>IF(OR(FRONT!BD43="",FRONT!BD86="",BD23="",BD66=""),"",IFERROR(ROUND(AVERAGE(FRONT!BD43,FRONT!BD86,BD23,BD66),0),""))</f>
        <v>92</v>
      </c>
      <c r="BL90" s="175"/>
      <c r="BM90" s="175"/>
      <c r="BN90" s="175"/>
      <c r="BO90" s="175"/>
    </row>
    <row r="91" spans="1:67" x14ac:dyDescent="0.3">
      <c r="A91" s="68" t="s">
        <v>105</v>
      </c>
      <c r="B91" s="68"/>
      <c r="C91" s="68"/>
      <c r="D91" s="68"/>
      <c r="E91" s="68"/>
      <c r="F91" s="68"/>
      <c r="G91" s="68"/>
      <c r="H91" s="68"/>
      <c r="I91" s="184" t="s">
        <v>135</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45120</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136</v>
      </c>
      <c r="B94" s="171"/>
      <c r="C94" s="171"/>
      <c r="D94" s="171"/>
      <c r="E94" s="171"/>
      <c r="F94" s="171"/>
      <c r="G94" s="171"/>
      <c r="H94" s="171"/>
      <c r="I94" s="171"/>
      <c r="J94" s="171"/>
      <c r="K94" s="171"/>
      <c r="L94" s="171"/>
      <c r="M94" s="171"/>
      <c r="N94" s="171"/>
      <c r="O94" s="171"/>
      <c r="P94" s="171"/>
      <c r="Q94" s="3"/>
      <c r="R94" s="3"/>
      <c r="S94" s="3"/>
      <c r="T94" s="173">
        <v>45910</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141</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46055</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25" sqref="A25:I2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BALILA,  KATHLEEN  RAQUIN</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6" t="s">
        <v>53</v>
      </c>
      <c r="B4" s="186"/>
      <c r="C4" s="186"/>
      <c r="D4" s="186"/>
      <c r="E4" s="186"/>
      <c r="F4" s="186"/>
      <c r="G4" s="186"/>
      <c r="H4" s="186"/>
      <c r="I4" s="186"/>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115</v>
      </c>
      <c r="D39" s="146"/>
      <c r="E39" s="146"/>
      <c r="F39" s="146"/>
      <c r="G39" s="146"/>
      <c r="H39" s="146"/>
    </row>
    <row r="40" spans="1:9" x14ac:dyDescent="0.3">
      <c r="A40" s="7" t="str">
        <f t="array" ref="A40">IFERROR(INDEX('Helper(IMPORTANT!)'!$J$7:$L$86,MATCH(1,('Helper(IMPORTANT!)'!$J$7:$J$86=C40)*('Helper(IMPORTANT!)'!$K$7:$K$86='Helper(IMPORTANT!)'!$J$6),0),3),"")</f>
        <v>∕</v>
      </c>
      <c r="C40" s="146" t="s">
        <v>129</v>
      </c>
      <c r="D40" s="146"/>
      <c r="E40" s="146"/>
      <c r="F40" s="146"/>
      <c r="G40" s="146"/>
      <c r="H40" s="146"/>
    </row>
    <row r="41" spans="1:9" x14ac:dyDescent="0.3">
      <c r="A41" s="7" t="str">
        <f t="array" ref="A41">IFERROR(INDEX('Helper(IMPORTANT!)'!$J$7:$L$86,MATCH(1,('Helper(IMPORTANT!)'!$J$7:$J$86=C41)*('Helper(IMPORTANT!)'!$K$7:$K$86='Helper(IMPORTANT!)'!$J$6),0),3),"")</f>
        <v>∕</v>
      </c>
      <c r="C41" s="146" t="s">
        <v>130</v>
      </c>
      <c r="D41" s="146"/>
      <c r="E41" s="146"/>
      <c r="F41" s="146"/>
      <c r="G41" s="146"/>
      <c r="H41" s="146"/>
    </row>
    <row r="42" spans="1:9" x14ac:dyDescent="0.3">
      <c r="A42" s="7" t="str">
        <f t="array" ref="A42">IFERROR(INDEX('Helper(IMPORTANT!)'!$J$7:$L$86,MATCH(1,('Helper(IMPORTANT!)'!$J$7:$J$86=C42)*('Helper(IMPORTANT!)'!$K$7:$K$86='Helper(IMPORTANT!)'!$J$6),0),3),"")</f>
        <v>∕</v>
      </c>
      <c r="C42" s="146" t="s">
        <v>125</v>
      </c>
      <c r="D42" s="146"/>
      <c r="E42" s="146"/>
      <c r="F42" s="146"/>
      <c r="G42" s="146"/>
      <c r="H42" s="146"/>
    </row>
    <row r="43" spans="1:9" x14ac:dyDescent="0.3">
      <c r="A43" s="7" t="str">
        <f t="array" ref="A43">IFERROR(INDEX('Helper(IMPORTANT!)'!$J$7:$L$86,MATCH(1,('Helper(IMPORTANT!)'!$J$7:$J$86=C43)*('Helper(IMPORTANT!)'!$K$7:$K$86='Helper(IMPORTANT!)'!$J$6),0),3),"")</f>
        <v>∕</v>
      </c>
      <c r="C43" s="146" t="s">
        <v>126</v>
      </c>
      <c r="D43" s="146"/>
      <c r="E43" s="146"/>
      <c r="F43" s="146"/>
      <c r="G43" s="146"/>
      <c r="H43" s="146"/>
    </row>
    <row r="44" spans="1:9" x14ac:dyDescent="0.3">
      <c r="A44" s="7" t="str">
        <f t="array" ref="A44">IFERROR(INDEX('Helper(IMPORTANT!)'!$J$7:$L$86,MATCH(1,('Helper(IMPORTANT!)'!$J$7:$J$86=C44)*('Helper(IMPORTANT!)'!$K$7:$K$86='Helper(IMPORTANT!)'!$J$6),0),3),"")</f>
        <v>∕</v>
      </c>
      <c r="C44" s="146" t="s">
        <v>127</v>
      </c>
      <c r="D44" s="146"/>
      <c r="E44" s="146"/>
      <c r="F44" s="146"/>
      <c r="G44" s="146"/>
      <c r="H44" s="146"/>
    </row>
    <row r="45" spans="1:9" x14ac:dyDescent="0.3">
      <c r="A45" s="7" t="str">
        <f t="array" ref="A45">IFERROR(INDEX('Helper(IMPORTANT!)'!$J$7:$L$86,MATCH(1,('Helper(IMPORTANT!)'!$J$7:$J$86=C45)*('Helper(IMPORTANT!)'!$K$7:$K$86='Helper(IMPORTANT!)'!$J$6),0),3),"")</f>
        <v>∕</v>
      </c>
      <c r="C45" s="146" t="s">
        <v>128</v>
      </c>
      <c r="D45" s="146"/>
      <c r="E45" s="146"/>
      <c r="F45" s="146"/>
      <c r="G45" s="146"/>
      <c r="H45" s="146"/>
    </row>
    <row r="46" spans="1:9" x14ac:dyDescent="0.3">
      <c r="A46" s="7" t="str">
        <f t="array" ref="A46">IFERROR(INDEX('Helper(IMPORTANT!)'!$J$7:$L$86,MATCH(1,('Helper(IMPORTANT!)'!$J$7:$J$86=C46)*('Helper(IMPORTANT!)'!$K$7:$K$86='Helper(IMPORTANT!)'!$J$6),0),3),"")</f>
        <v>∕</v>
      </c>
      <c r="C46" s="146" t="s">
        <v>131</v>
      </c>
      <c r="D46" s="146"/>
      <c r="E46" s="146"/>
      <c r="F46" s="146"/>
      <c r="G46" s="146"/>
      <c r="H46" s="146"/>
    </row>
    <row r="47" spans="1:9" x14ac:dyDescent="0.3">
      <c r="A47" s="7" t="str">
        <f t="array" ref="A47">IFERROR(INDEX('Helper(IMPORTANT!)'!$J$7:$L$86,MATCH(1,('Helper(IMPORTANT!)'!$J$7:$J$86=C47)*('Helper(IMPORTANT!)'!$K$7:$K$86='Helper(IMPORTANT!)'!$J$6),0),3),"")</f>
        <v>∕</v>
      </c>
      <c r="C47" s="146" t="s">
        <v>132</v>
      </c>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116</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91</v>
      </c>
    </row>
    <row r="4" spans="1:13" hidden="1" x14ac:dyDescent="0.3">
      <c r="A4" s="189">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89"/>
      <c r="B5" s="35" t="str">
        <f>IF(FRONT!A32="Core","Core",IF(FRONT!A32="Applied","Applied",IF(FRONT!A32="Specialized","Specialized",IF(FRONT!A32="Other_Subjects","Other_Subjects"))))</f>
        <v>Core</v>
      </c>
      <c r="C5" s="36" t="s">
        <v>59</v>
      </c>
      <c r="D5" s="35" t="s">
        <v>67</v>
      </c>
      <c r="E5" s="14" t="str">
        <f>IF(ANNEX!C40="","",ANNEX!C40)</f>
        <v>Applied Economics</v>
      </c>
      <c r="F5" s="35" t="str">
        <f>IF(ANNEX!C51="","",ANNEX!C51)</f>
        <v/>
      </c>
    </row>
    <row r="6" spans="1:13" hidden="1" x14ac:dyDescent="0.3">
      <c r="A6" s="189"/>
      <c r="B6" s="35" t="str">
        <f>IF(FRONT!A33="Core","Core",IF(FRONT!A33="Applied","Applied",IF(FRONT!A33="Specialized","Specialized",IF(FRONT!A33="Other_Subjects","Other_Subjects"))))</f>
        <v>Core</v>
      </c>
      <c r="C6" s="36" t="s">
        <v>66</v>
      </c>
      <c r="D6" s="35" t="s">
        <v>20</v>
      </c>
      <c r="E6" s="14" t="str">
        <f>IF(ANNEX!C41="","",ANNEX!C41)</f>
        <v>Business Ethics and Social Responsibility</v>
      </c>
      <c r="F6" s="38" t="str">
        <f>IF(ANNEX!C52="","",ANNEX!C52)</f>
        <v/>
      </c>
      <c r="J6" s="37" t="s">
        <v>72</v>
      </c>
      <c r="K6" s="3"/>
      <c r="L6" s="3"/>
      <c r="M6" s="3" t="s">
        <v>73</v>
      </c>
    </row>
    <row r="7" spans="1:13" hidden="1" x14ac:dyDescent="0.3">
      <c r="A7" s="189"/>
      <c r="B7" s="35" t="str">
        <f>IF(FRONT!A34="Core","Core",IF(FRONT!A34="Applied","Applied",IF(FRONT!A34="Specialized","Specialized",IF(FRONT!A34="Other_Subjects","Other_Subjects"))))</f>
        <v>Core</v>
      </c>
      <c r="C7" s="36" t="s">
        <v>11</v>
      </c>
      <c r="D7" s="35" t="s">
        <v>18</v>
      </c>
      <c r="E7" s="26" t="str">
        <f>IF(ANNEX!C42="","",ANNEX!C42)</f>
        <v>Fundamentals of Accountancy, Business and Management 1</v>
      </c>
      <c r="I7" s="189">
        <v>1</v>
      </c>
      <c r="J7" s="3" t="str">
        <f>FRONT!I31</f>
        <v>Oral Communication</v>
      </c>
      <c r="K7" s="3" t="str">
        <f>FRONT!BI31</f>
        <v>PASSED</v>
      </c>
      <c r="L7" s="3" t="str">
        <f>IF(K7="PASSED","∕","")</f>
        <v>∕</v>
      </c>
      <c r="M7" s="7" t="str">
        <f t="array" ref="M7">IFERROR(INDEX(FRONT!I31:BI42,MATCH(1,(FRONT!I31:I42=$M$6)*(FRONT!BI31:BI42=$J$6),0),53),"")</f>
        <v>PASSED</v>
      </c>
    </row>
    <row r="8" spans="1:13" hidden="1" x14ac:dyDescent="0.3">
      <c r="A8" s="189"/>
      <c r="B8" s="35" t="str">
        <f>IF(FRONT!A35="Core","Core",IF(FRONT!A35="Applied","Applied",IF(FRONT!A35="Specialized","Specialized",IF(FRONT!A35="Other_Subjects","Other_Subjects"))))</f>
        <v>Core</v>
      </c>
      <c r="C8" s="36" t="s">
        <v>14</v>
      </c>
      <c r="D8" s="35" t="s">
        <v>21</v>
      </c>
      <c r="E8" s="26" t="str">
        <f>IF(ANNEX!C43="","",ANNEX!C43)</f>
        <v>Business Mathematics</v>
      </c>
      <c r="I8" s="189"/>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89"/>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89"/>
      <c r="J9" s="3" t="str">
        <f>FRONT!I33</f>
        <v>General Mathematics</v>
      </c>
      <c r="K9" s="3" t="str">
        <f>FRONT!BI33</f>
        <v>PASSED</v>
      </c>
      <c r="L9" s="3" t="str">
        <f t="shared" si="0"/>
        <v>∕</v>
      </c>
      <c r="M9" s="7" t="str">
        <f t="array" ref="M9">IFERROR(INDEX(FRONT!I74:BI85,MATCH(1,(FRONT!I74:I85=$M$6)*(FRONT!BI74:BI85=$J$6),0),53),"")</f>
        <v>PASSED</v>
      </c>
    </row>
    <row r="10" spans="1:13" hidden="1" x14ac:dyDescent="0.3">
      <c r="A10" s="189"/>
      <c r="B10" s="35" t="str">
        <f>IF(FRONT!A37="Core","Core",IF(FRONT!A37="Applied","Applied",IF(FRONT!A37="Specialized","Specialized",IF(FRONT!A37="Other_Subjects","Other_Subjects"))))</f>
        <v>Applied</v>
      </c>
      <c r="C10" s="36" t="s">
        <v>64</v>
      </c>
      <c r="D10" s="35" t="s">
        <v>17</v>
      </c>
      <c r="E10" s="26" t="str">
        <f>IF(ANNEX!C45="","",ANNEX!C45)</f>
        <v>Principles of Marketing</v>
      </c>
      <c r="I10" s="189"/>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89"/>
      <c r="B11" s="35" t="str">
        <f>IF(FRONT!A38="Core","Core",IF(FRONT!A38="Applied","Applied",IF(FRONT!A38="Specialized","Specialized",IF(FRONT!A38="Other_Subjects","Other_Subjects"))))</f>
        <v>Applied</v>
      </c>
      <c r="C11" s="36" t="s">
        <v>56</v>
      </c>
      <c r="D11" s="38"/>
      <c r="E11" s="26" t="str">
        <f>IF(ANNEX!C46="","",ANNEX!C46)</f>
        <v>Business Finance</v>
      </c>
      <c r="I11" s="189"/>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89"/>
      <c r="B12" s="35" t="str">
        <f>IF(FRONT!A39="Core","Core",IF(FRONT!A39="Applied","Applied",IF(FRONT!A39="Specialized","Specialized",IF(FRONT!A39="Other_Subjects","Other_Subjects"))))</f>
        <v>Specialized</v>
      </c>
      <c r="C12" s="36" t="s">
        <v>60</v>
      </c>
      <c r="D12" s="14"/>
      <c r="E12" s="39" t="str">
        <f>IF(ANNEX!C47="","",ANNEX!C47)</f>
        <v>Works Immersion/Research/Career Advocacy/Culminating Activity</v>
      </c>
      <c r="I12" s="189"/>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89"/>
      <c r="B13" s="35" t="str">
        <f>IF(FRONT!A40="Core","Core",IF(FRONT!A40="Applied","Applied",IF(FRONT!A40="Specialized","Specialized",IF(FRONT!A40="Other_Subjects","Other_Subjects"))))</f>
        <v>Other_Subjects</v>
      </c>
      <c r="C13" s="35" t="s">
        <v>9</v>
      </c>
      <c r="I13" s="189"/>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89"/>
      <c r="B14" s="35" t="b">
        <f>IF(FRONT!A41="Core","Core",IF(FRONT!A41="Applied","Applied",IF(FRONT!A41="Specialized","Specialized",IF(FRONT!A41="Other_Subjects","Other_Subjects"))))</f>
        <v>0</v>
      </c>
      <c r="C14" s="35" t="s">
        <v>57</v>
      </c>
      <c r="I14" s="189"/>
      <c r="J14" s="3" t="str">
        <f>FRONT!I38</f>
        <v>Practical Research 1</v>
      </c>
      <c r="K14" s="3" t="str">
        <f>FRONT!BI38</f>
        <v>PASSED</v>
      </c>
      <c r="L14" s="3" t="str">
        <f t="shared" si="0"/>
        <v>∕</v>
      </c>
      <c r="M14" s="7" t="str">
        <f t="array" ref="M14">IFERROR(INDEX(BACK!I81:BI84,MATCH(1,(BACK!I81:I84=$M$6)*(BACK!BI81:BI84=$J$6),0),53),"")</f>
        <v/>
      </c>
    </row>
    <row r="15" spans="1:13" hidden="1" x14ac:dyDescent="0.3">
      <c r="A15" s="189"/>
      <c r="B15" s="35" t="b">
        <f>IF(FRONT!A42="Core","Core",IF(FRONT!A42="Applied","Applied",IF(FRONT!A42="Specialized","Specialized",IF(FRONT!A42="Other_Subjects","Other_Subjects"))))</f>
        <v>0</v>
      </c>
      <c r="C15" s="35" t="s">
        <v>62</v>
      </c>
      <c r="I15" s="189"/>
      <c r="J15" s="3" t="str">
        <f>FRONT!I39</f>
        <v>Organization and Management</v>
      </c>
      <c r="K15" s="3" t="str">
        <f>FRONT!BI39</f>
        <v>PASSED</v>
      </c>
      <c r="L15" s="3" t="str">
        <f t="shared" si="0"/>
        <v>∕</v>
      </c>
      <c r="M15" s="3"/>
    </row>
    <row r="16" spans="1:13" hidden="1" x14ac:dyDescent="0.3">
      <c r="A16" s="189">
        <v>2</v>
      </c>
      <c r="B16" s="33" t="b">
        <f>IF(FRONT!A58="Core","Core",IF(FRONT!A58="Applied","Applied",IF(FRONT!A58="Specialized","Specialized",IF(FRONT!A58="Other_Subjects","Other_Subjects"))))</f>
        <v>0</v>
      </c>
      <c r="C16" s="35" t="s">
        <v>73</v>
      </c>
      <c r="I16" s="189"/>
      <c r="J16" s="3" t="str">
        <f>FRONT!I40</f>
        <v>Homeroom Guidance</v>
      </c>
      <c r="K16" s="3" t="str">
        <f>FRONT!BI40</f>
        <v/>
      </c>
      <c r="L16" s="3" t="str">
        <f t="shared" si="0"/>
        <v/>
      </c>
      <c r="M16" s="3"/>
    </row>
    <row r="17" spans="1:13" hidden="1" x14ac:dyDescent="0.3">
      <c r="A17" s="189"/>
      <c r="B17" s="35" t="b">
        <f>IF(FRONT!A59="Core","Core",IF(FRONT!A59="Applied","Applied",IF(FRONT!A59="Specialized","Specialized",IF(FRONT!A59="Other_Subjects","Other_Subjects"))))</f>
        <v>0</v>
      </c>
      <c r="C17" s="35" t="s">
        <v>12</v>
      </c>
      <c r="I17" s="189"/>
      <c r="J17" s="3">
        <f>FRONT!I41</f>
        <v>0</v>
      </c>
      <c r="K17" s="3" t="str">
        <f>FRONT!BI41</f>
        <v/>
      </c>
      <c r="L17" s="3" t="str">
        <f t="shared" si="0"/>
        <v/>
      </c>
      <c r="M17" s="3"/>
    </row>
    <row r="18" spans="1:13" hidden="1" x14ac:dyDescent="0.3">
      <c r="A18" s="189"/>
      <c r="B18" s="35" t="e">
        <f>IF(FRONT!#REF!="Core","Core",IF(FRONT!#REF!="Applied","Applied",IF(FRONT!#REF!="Specialized","Specialized",IF(FRONT!#REF!="Other_Subjects","Other_Subjects"))))</f>
        <v>#REF!</v>
      </c>
      <c r="C18" s="35" t="s">
        <v>54</v>
      </c>
      <c r="I18" s="189"/>
      <c r="J18" s="3">
        <f>FRONT!I42</f>
        <v>0</v>
      </c>
      <c r="K18" s="3" t="str">
        <f>FRONT!BI42</f>
        <v/>
      </c>
      <c r="L18" s="3" t="str">
        <f t="shared" si="0"/>
        <v/>
      </c>
      <c r="M18" s="3"/>
    </row>
    <row r="19" spans="1:13" hidden="1" x14ac:dyDescent="0.3">
      <c r="A19" s="189"/>
      <c r="B19" s="35" t="e">
        <f>IF(FRONT!#REF!="Core","Core",IF(FRONT!#REF!="Applied","Applied",IF(FRONT!#REF!="Specialized","Specialized",IF(FRONT!#REF!="Other_Subjects","Other_Subjects"))))</f>
        <v>#REF!</v>
      </c>
      <c r="C19" s="35" t="s">
        <v>61</v>
      </c>
      <c r="I19" s="190">
        <v>2</v>
      </c>
      <c r="J19" s="3">
        <f>FRONT!I58</f>
        <v>0</v>
      </c>
      <c r="K19" s="3" t="str">
        <f>FRONT!BI58</f>
        <v/>
      </c>
      <c r="L19" s="3" t="str">
        <f t="shared" si="0"/>
        <v/>
      </c>
      <c r="M19" s="3"/>
    </row>
    <row r="20" spans="1:13" hidden="1" x14ac:dyDescent="0.3">
      <c r="A20" s="189"/>
      <c r="B20" s="35" t="e">
        <f>IF(FRONT!#REF!="Core","Core",IF(FRONT!#REF!="Applied","Applied",IF(FRONT!#REF!="Specialized","Specialized",IF(FRONT!#REF!="Other_Subjects","Other_Subjects"))))</f>
        <v>#REF!</v>
      </c>
      <c r="C20" s="35" t="s">
        <v>63</v>
      </c>
      <c r="I20" s="190"/>
      <c r="J20" s="3">
        <f>FRONT!I59</f>
        <v>0</v>
      </c>
      <c r="K20" s="3" t="str">
        <f>FRONT!BI59</f>
        <v/>
      </c>
      <c r="L20" s="3" t="str">
        <f t="shared" si="0"/>
        <v/>
      </c>
      <c r="M20" s="3"/>
    </row>
    <row r="21" spans="1:13" hidden="1" x14ac:dyDescent="0.3">
      <c r="A21" s="189"/>
      <c r="B21" s="35" t="e">
        <f>IF(FRONT!#REF!="Core","Core",IF(FRONT!#REF!="Applied","Applied",IF(FRONT!#REF!="Specialized","Specialized",IF(FRONT!#REF!="Other_Subjects","Other_Subjects"))))</f>
        <v>#REF!</v>
      </c>
      <c r="C21" s="40" t="str">
        <f>IF(ANNEX!C26="","",ANNEX!C26)</f>
        <v/>
      </c>
      <c r="D21" s="3"/>
      <c r="E21" s="3"/>
      <c r="I21" s="190"/>
      <c r="J21" s="3" t="e">
        <f>FRONT!#REF!</f>
        <v>#REF!</v>
      </c>
      <c r="K21" s="3" t="e">
        <f>FRONT!#REF!</f>
        <v>#REF!</v>
      </c>
      <c r="L21" s="3" t="e">
        <f t="shared" si="0"/>
        <v>#REF!</v>
      </c>
      <c r="M21" s="3"/>
    </row>
    <row r="22" spans="1:13" hidden="1" x14ac:dyDescent="0.3">
      <c r="A22" s="189"/>
      <c r="B22" s="35" t="b">
        <f>IF(FRONT!A60="Core","Core",IF(FRONT!A60="Applied","Applied",IF(FRONT!A60="Specialized","Specialized",IF(FRONT!A60="Other_Subjects","Other_Subjects"))))</f>
        <v>0</v>
      </c>
      <c r="C22" s="41" t="str">
        <f>IF(ANNEX!C27="","",ANNEX!C27)</f>
        <v/>
      </c>
      <c r="D22" s="3"/>
      <c r="E22" s="3"/>
      <c r="I22" s="190"/>
      <c r="J22" s="3" t="e">
        <f>FRONT!#REF!</f>
        <v>#REF!</v>
      </c>
      <c r="K22" s="3" t="e">
        <f>FRONT!#REF!</f>
        <v>#REF!</v>
      </c>
      <c r="L22" s="3" t="e">
        <f t="shared" si="0"/>
        <v>#REF!</v>
      </c>
      <c r="M22" s="3"/>
    </row>
    <row r="23" spans="1:13" hidden="1" x14ac:dyDescent="0.3">
      <c r="A23" s="189"/>
      <c r="B23" s="35" t="b">
        <f>IF(FRONT!A61="Core","Core",IF(FRONT!A61="Applied","Applied",IF(FRONT!A61="Specialized","Specialized",IF(FRONT!A61="Other_Subjects","Other_Subjects"))))</f>
        <v>0</v>
      </c>
      <c r="C23" s="3"/>
      <c r="D23" s="3"/>
      <c r="E23" s="3"/>
      <c r="I23" s="190"/>
      <c r="J23" s="3" t="e">
        <f>FRONT!#REF!</f>
        <v>#REF!</v>
      </c>
      <c r="K23" s="3" t="e">
        <f>FRONT!#REF!</f>
        <v>#REF!</v>
      </c>
      <c r="L23" s="3" t="e">
        <f t="shared" si="0"/>
        <v>#REF!</v>
      </c>
      <c r="M23" s="3"/>
    </row>
    <row r="24" spans="1:13" hidden="1" x14ac:dyDescent="0.3">
      <c r="A24" s="189"/>
      <c r="B24" s="35" t="b">
        <f>IF(FRONT!A62="Core","Core",IF(FRONT!A62="Applied","Applied",IF(FRONT!A62="Specialized","Specialized",IF(FRONT!A62="Other_Subjects","Other_Subjects"))))</f>
        <v>0</v>
      </c>
      <c r="C24" s="3"/>
      <c r="D24" s="3"/>
      <c r="E24" s="3"/>
      <c r="I24" s="190"/>
      <c r="J24" s="3" t="e">
        <f>FRONT!#REF!</f>
        <v>#REF!</v>
      </c>
      <c r="K24" s="3" t="e">
        <f>FRONT!#REF!</f>
        <v>#REF!</v>
      </c>
      <c r="L24" s="3" t="e">
        <f t="shared" si="0"/>
        <v>#REF!</v>
      </c>
      <c r="M24" s="3"/>
    </row>
    <row r="25" spans="1:13" hidden="1" x14ac:dyDescent="0.3">
      <c r="A25" s="189"/>
      <c r="B25" s="35" t="b">
        <f>IF(FRONT!A63="Core","Core",IF(FRONT!A63="Applied","Applied",IF(FRONT!A63="Specialized","Specialized",IF(FRONT!A63="Other_Subjects","Other_Subjects"))))</f>
        <v>0</v>
      </c>
      <c r="C25" s="3"/>
      <c r="D25" s="3"/>
      <c r="E25" s="3"/>
      <c r="I25" s="190"/>
      <c r="J25" s="3">
        <f>FRONT!I60</f>
        <v>0</v>
      </c>
      <c r="K25" s="3" t="str">
        <f>FRONT!BI60</f>
        <v/>
      </c>
      <c r="L25" s="32" t="str">
        <f t="shared" si="0"/>
        <v/>
      </c>
      <c r="M25" s="32"/>
    </row>
    <row r="26" spans="1:13" hidden="1" x14ac:dyDescent="0.3">
      <c r="A26" s="189"/>
      <c r="B26" s="35" t="b">
        <f>IF(FRONT!A64="Core","Core",IF(FRONT!A64="Applied","Applied",IF(FRONT!A64="Specialized","Specialized",IF(FRONT!A64="Other_Subjects","Other_Subjects"))))</f>
        <v>0</v>
      </c>
      <c r="C26" s="3"/>
      <c r="D26" s="3"/>
      <c r="E26" s="3"/>
      <c r="I26" s="190"/>
      <c r="J26" s="3">
        <f>FRONT!I61</f>
        <v>0</v>
      </c>
      <c r="K26" s="3" t="str">
        <f>FRONT!BI61</f>
        <v/>
      </c>
      <c r="L26" s="3" t="str">
        <f t="shared" si="0"/>
        <v/>
      </c>
      <c r="M26" s="3"/>
    </row>
    <row r="27" spans="1:13" hidden="1" x14ac:dyDescent="0.3">
      <c r="A27" s="189"/>
      <c r="B27" s="35" t="b">
        <f>IF(FRONT!A65="Core","Core",IF(FRONT!A65="Applied","Applied",IF(FRONT!A65="Specialized","Specialized",IF(FRONT!A65="Other_Subjects","Other_Subjects"))))</f>
        <v>0</v>
      </c>
      <c r="C27" s="3"/>
      <c r="D27" s="3"/>
      <c r="E27" s="3"/>
      <c r="I27" s="189">
        <v>3</v>
      </c>
      <c r="J27" s="3" t="str">
        <f>FRONT!I74</f>
        <v>Reading and Writing</v>
      </c>
      <c r="K27" s="3" t="str">
        <f>FRONT!BI74</f>
        <v>PASSED</v>
      </c>
      <c r="L27" s="3" t="str">
        <f t="shared" si="0"/>
        <v>∕</v>
      </c>
      <c r="M27" s="3"/>
    </row>
    <row r="28" spans="1:13" hidden="1" x14ac:dyDescent="0.3">
      <c r="A28" s="189">
        <v>3</v>
      </c>
      <c r="B28" s="33" t="str">
        <f>IF(FRONT!A74="Core","Core",IF(FRONT!A74="Applied","Applied",IF(FRONT!A74="Specialized","Specialized",IF(FRONT!A74="Other_Subjects","Other_Subjects"))))</f>
        <v>Core</v>
      </c>
      <c r="C28" s="3"/>
      <c r="D28" s="3"/>
      <c r="E28" s="3"/>
      <c r="I28" s="189"/>
      <c r="J28" s="3" t="str">
        <f>FRONT!I75</f>
        <v>Pagbasa at Pagsusuri ng Iba't Ibang Teksto Tungo sa Pananaliksik</v>
      </c>
      <c r="K28" s="3" t="str">
        <f>FRONT!BI75</f>
        <v>PASSED</v>
      </c>
      <c r="L28" s="3" t="str">
        <f t="shared" si="0"/>
        <v>∕</v>
      </c>
      <c r="M28" s="3"/>
    </row>
    <row r="29" spans="1:13" hidden="1" x14ac:dyDescent="0.3">
      <c r="A29" s="189"/>
      <c r="B29" s="35" t="str">
        <f>IF(FRONT!A75="Core","Core",IF(FRONT!A75="Applied","Applied",IF(FRONT!A75="Specialized","Specialized",IF(FRONT!A75="Other_Subjects","Other_Subjects"))))</f>
        <v>Core</v>
      </c>
      <c r="C29" s="3"/>
      <c r="D29" s="3"/>
      <c r="E29" s="3"/>
      <c r="I29" s="189"/>
      <c r="J29" s="3" t="str">
        <f>FRONT!I76</f>
        <v>Statistics and Probability</v>
      </c>
      <c r="K29" s="3" t="str">
        <f>FRONT!BI76</f>
        <v>PASSED</v>
      </c>
      <c r="L29" s="3" t="str">
        <f t="shared" si="0"/>
        <v>∕</v>
      </c>
      <c r="M29" s="3"/>
    </row>
    <row r="30" spans="1:13" hidden="1" x14ac:dyDescent="0.3">
      <c r="A30" s="189"/>
      <c r="B30" s="35" t="str">
        <f>IF(FRONT!A76="Core","Core",IF(FRONT!A76="Applied","Applied",IF(FRONT!A76="Specialized","Specialized",IF(FRONT!A76="Other_Subjects","Other_Subjects"))))</f>
        <v>Core</v>
      </c>
      <c r="C30" s="3"/>
      <c r="D30" s="3"/>
      <c r="E30" s="3"/>
      <c r="I30" s="189"/>
      <c r="J30" s="3" t="str">
        <f>FRONT!I77</f>
        <v>Physical Science*</v>
      </c>
      <c r="K30" s="3" t="str">
        <f>FRONT!BI77</f>
        <v>PASSED</v>
      </c>
      <c r="L30" s="3" t="str">
        <f t="shared" si="0"/>
        <v>∕</v>
      </c>
      <c r="M30" s="3"/>
    </row>
    <row r="31" spans="1:13" hidden="1" x14ac:dyDescent="0.3">
      <c r="A31" s="189"/>
      <c r="B31" s="35" t="str">
        <f>IF(FRONT!A77="Core","Core",IF(FRONT!A77="Applied","Applied",IF(FRONT!A77="Specialized","Specialized",IF(FRONT!A77="Other_Subjects","Other_Subjects"))))</f>
        <v>Core</v>
      </c>
      <c r="C31" s="3"/>
      <c r="D31" s="3"/>
      <c r="E31" s="3"/>
      <c r="I31" s="189"/>
      <c r="J31" s="3" t="str">
        <f>FRONT!I78</f>
        <v>Physical Education and Health</v>
      </c>
      <c r="K31" s="3" t="str">
        <f>FRONT!BI78</f>
        <v>PASSED</v>
      </c>
      <c r="L31" s="3" t="str">
        <f t="shared" si="0"/>
        <v>∕</v>
      </c>
      <c r="M31" s="3"/>
    </row>
    <row r="32" spans="1:13" hidden="1" x14ac:dyDescent="0.3">
      <c r="A32" s="189"/>
      <c r="B32" s="35" t="str">
        <f>IF(FRONT!A78="Core","Core",IF(FRONT!A78="Applied","Applied",IF(FRONT!A78="Specialized","Specialized",IF(FRONT!A78="Other_Subjects","Other_Subjects"))))</f>
        <v>Core</v>
      </c>
      <c r="C32" s="3"/>
      <c r="D32" s="3"/>
      <c r="E32" s="3"/>
      <c r="I32" s="189"/>
      <c r="J32" s="3" t="str">
        <f>FRONT!I79</f>
        <v>Empowerment Technologies</v>
      </c>
      <c r="K32" s="3" t="str">
        <f>FRONT!BI79</f>
        <v>PASSED</v>
      </c>
      <c r="L32" s="3" t="str">
        <f t="shared" si="0"/>
        <v>∕</v>
      </c>
      <c r="M32" s="3"/>
    </row>
    <row r="33" spans="1:13" hidden="1" x14ac:dyDescent="0.3">
      <c r="A33" s="189"/>
      <c r="B33" s="35" t="str">
        <f>IF(FRONT!A79="Core","Core",IF(FRONT!A79="Applied","Applied",IF(FRONT!A79="Specialized","Specialized",IF(FRONT!A79="Other_Subjects","Other_Subjects"))))</f>
        <v>Applied</v>
      </c>
      <c r="C33" s="3"/>
      <c r="D33" s="3"/>
      <c r="E33" s="3"/>
      <c r="I33" s="189"/>
      <c r="J33" s="3" t="str">
        <f>FRONT!I80</f>
        <v>Practical Research 2</v>
      </c>
      <c r="K33" s="3" t="str">
        <f>FRONT!BI80</f>
        <v>PASSED</v>
      </c>
      <c r="L33" s="3" t="str">
        <f t="shared" si="0"/>
        <v>∕</v>
      </c>
      <c r="M33" s="3"/>
    </row>
    <row r="34" spans="1:13" hidden="1" x14ac:dyDescent="0.3">
      <c r="A34" s="189"/>
      <c r="B34" s="35" t="str">
        <f>IF(FRONT!A80="Core","Core",IF(FRONT!A80="Applied","Applied",IF(FRONT!A80="Specialized","Specialized",IF(FRONT!A80="Other_Subjects","Other_Subjects"))))</f>
        <v>Applied</v>
      </c>
      <c r="C34" s="3"/>
      <c r="D34" s="3"/>
      <c r="E34" s="3"/>
      <c r="I34" s="189"/>
      <c r="J34" s="3" t="str">
        <f>FRONT!I81</f>
        <v>Fundamentals of Accountancy, Business and Management 1</v>
      </c>
      <c r="K34" s="3" t="str">
        <f>FRONT!BI81</f>
        <v>PASSED</v>
      </c>
      <c r="L34" s="3" t="str">
        <f t="shared" si="0"/>
        <v>∕</v>
      </c>
      <c r="M34" s="3"/>
    </row>
    <row r="35" spans="1:13" hidden="1" x14ac:dyDescent="0.3">
      <c r="A35" s="189"/>
      <c r="B35" s="35" t="str">
        <f>IF(FRONT!A81="Core","Core",IF(FRONT!A81="Applied","Applied",IF(FRONT!A81="Specialized","Specialized",IF(FRONT!A81="Other_Subjects","Other_Subjects"))))</f>
        <v>Specialized</v>
      </c>
      <c r="C35" s="3"/>
      <c r="D35" s="3"/>
      <c r="E35" s="3"/>
      <c r="I35" s="189"/>
      <c r="J35" s="3" t="str">
        <f>FRONT!I82</f>
        <v>Business Mathematics</v>
      </c>
      <c r="K35" s="3" t="str">
        <f>FRONT!BI82</f>
        <v>PASSED</v>
      </c>
      <c r="L35" s="3" t="str">
        <f t="shared" si="0"/>
        <v>∕</v>
      </c>
      <c r="M35" s="3"/>
    </row>
    <row r="36" spans="1:13" hidden="1" x14ac:dyDescent="0.3">
      <c r="A36" s="189"/>
      <c r="B36" s="35" t="str">
        <f>IF(FRONT!A82="Core","Core",IF(FRONT!A82="Applied","Applied",IF(FRONT!A82="Specialized","Specialized",IF(FRONT!A82="Other_Subjects","Other_Subjects"))))</f>
        <v>Specialized</v>
      </c>
      <c r="C36" s="3"/>
      <c r="D36" s="3"/>
      <c r="E36" s="3"/>
      <c r="I36" s="189"/>
      <c r="J36" s="3" t="str">
        <f>FRONT!I83</f>
        <v>Homeroom Guidance</v>
      </c>
      <c r="K36" s="3" t="str">
        <f>FRONT!BI83</f>
        <v/>
      </c>
      <c r="L36" s="3" t="str">
        <f t="shared" si="0"/>
        <v/>
      </c>
      <c r="M36" s="3"/>
    </row>
    <row r="37" spans="1:13" hidden="1" x14ac:dyDescent="0.3">
      <c r="A37" s="189"/>
      <c r="B37" s="35" t="str">
        <f>IF(FRONT!A83="Core","Core",IF(FRONT!A83="Applied","Applied",IF(FRONT!A83="Specialized","Specialized",IF(FRONT!A83="Other_Subjects","Other_Subjects"))))</f>
        <v>Other_Subjects</v>
      </c>
      <c r="C37" s="3"/>
      <c r="D37" s="3"/>
      <c r="E37" s="3"/>
      <c r="I37" s="189"/>
      <c r="J37" s="3">
        <f>FRONT!I84</f>
        <v>0</v>
      </c>
      <c r="K37" s="3" t="str">
        <f>FRONT!BI84</f>
        <v/>
      </c>
      <c r="L37" s="3" t="str">
        <f t="shared" si="0"/>
        <v/>
      </c>
      <c r="M37" s="3"/>
    </row>
    <row r="38" spans="1:13" hidden="1" x14ac:dyDescent="0.3">
      <c r="A38" s="189"/>
      <c r="B38" s="35" t="b">
        <f>IF(FRONT!A84="Core","Core",IF(FRONT!A84="Applied","Applied",IF(FRONT!A84="Specialized","Specialized",IF(FRONT!A84="Other_Subjects","Other_Subjects"))))</f>
        <v>0</v>
      </c>
      <c r="C38" s="3"/>
      <c r="D38" s="3"/>
      <c r="E38" s="3"/>
      <c r="I38" s="189"/>
      <c r="J38" s="3">
        <f>FRONT!I85</f>
        <v>0</v>
      </c>
      <c r="K38" s="3" t="str">
        <f>FRONT!BI85</f>
        <v/>
      </c>
      <c r="L38" s="3" t="str">
        <f t="shared" si="0"/>
        <v/>
      </c>
      <c r="M38" s="3"/>
    </row>
    <row r="39" spans="1:13" hidden="1" x14ac:dyDescent="0.3">
      <c r="A39" s="189"/>
      <c r="B39" s="35" t="b">
        <f>IF(FRONT!A85="Core","Core",IF(FRONT!A85="Applied","Applied",IF(FRONT!A85="Specialized","Specialized",IF(FRONT!A85="Other_Subjects","Other_Subjects"))))</f>
        <v>0</v>
      </c>
      <c r="C39" s="3"/>
      <c r="D39" s="3"/>
      <c r="E39" s="3"/>
      <c r="I39" s="190">
        <v>4</v>
      </c>
      <c r="J39" s="3">
        <f>FRONT!I101</f>
        <v>0</v>
      </c>
      <c r="K39" s="3" t="str">
        <f>FRONT!BI101</f>
        <v/>
      </c>
      <c r="L39" s="3" t="str">
        <f t="shared" si="0"/>
        <v/>
      </c>
      <c r="M39" s="3"/>
    </row>
    <row r="40" spans="1:13" hidden="1" x14ac:dyDescent="0.3">
      <c r="A40" s="189">
        <v>4</v>
      </c>
      <c r="B40" s="33" t="b">
        <f>IF(FRONT!A101="Core","Core",IF(FRONT!A101="Applied","Applied",IF(FRONT!A101="Specialized","Specialized",IF(FRONT!A101="Other_Subjects","Other_Subjects"))))</f>
        <v>0</v>
      </c>
      <c r="C40" s="3"/>
      <c r="D40" s="3"/>
      <c r="E40" s="3"/>
      <c r="I40" s="190"/>
      <c r="J40" s="3">
        <f>FRONT!I102</f>
        <v>0</v>
      </c>
      <c r="K40" s="3" t="str">
        <f>FRONT!BI102</f>
        <v/>
      </c>
      <c r="L40" s="3" t="str">
        <f t="shared" si="0"/>
        <v/>
      </c>
      <c r="M40" s="3"/>
    </row>
    <row r="41" spans="1:13" hidden="1" x14ac:dyDescent="0.3">
      <c r="A41" s="189"/>
      <c r="B41" s="35" t="b">
        <f>IF(FRONT!A102="Core","Core",IF(FRONT!A102="Applied","Applied",IF(FRONT!A102="Specialized","Specialized",IF(FRONT!A102="Other_Subjects","Other_Subjects"))))</f>
        <v>0</v>
      </c>
      <c r="C41" s="3"/>
      <c r="D41" s="3"/>
      <c r="E41" s="3"/>
      <c r="I41" s="190"/>
      <c r="J41" s="3" t="e">
        <f>FRONT!#REF!</f>
        <v>#REF!</v>
      </c>
      <c r="K41" s="3" t="e">
        <f>FRONT!#REF!</f>
        <v>#REF!</v>
      </c>
      <c r="L41" s="3" t="e">
        <f t="shared" si="0"/>
        <v>#REF!</v>
      </c>
      <c r="M41" s="3"/>
    </row>
    <row r="42" spans="1:13" hidden="1" x14ac:dyDescent="0.3">
      <c r="A42" s="189"/>
      <c r="B42" s="35" t="e">
        <f>IF(FRONT!#REF!="Core","Core",IF(FRONT!#REF!="Applied","Applied",IF(FRONT!#REF!="Specialized","Specialized",IF(FRONT!#REF!="Other_Subjects","Other_Subjects"))))</f>
        <v>#REF!</v>
      </c>
      <c r="C42" s="3"/>
      <c r="D42" s="3"/>
      <c r="E42" s="3"/>
      <c r="I42" s="190"/>
      <c r="J42" s="3" t="e">
        <f>FRONT!#REF!</f>
        <v>#REF!</v>
      </c>
      <c r="K42" s="3" t="e">
        <f>FRONT!#REF!</f>
        <v>#REF!</v>
      </c>
      <c r="L42" s="3" t="e">
        <f t="shared" si="0"/>
        <v>#REF!</v>
      </c>
      <c r="M42" s="3"/>
    </row>
    <row r="43" spans="1:13" hidden="1" x14ac:dyDescent="0.3">
      <c r="A43" s="189"/>
      <c r="B43" s="35" t="e">
        <f>IF(FRONT!#REF!="Core","Core",IF(FRONT!#REF!="Applied","Applied",IF(FRONT!#REF!="Specialized","Specialized",IF(FRONT!#REF!="Other_Subjects","Other_Subjects"))))</f>
        <v>#REF!</v>
      </c>
      <c r="C43" s="3"/>
      <c r="D43" s="3"/>
      <c r="E43" s="3"/>
      <c r="I43" s="190"/>
      <c r="J43" s="3" t="e">
        <f>FRONT!#REF!</f>
        <v>#REF!</v>
      </c>
      <c r="K43" s="3" t="e">
        <f>FRONT!#REF!</f>
        <v>#REF!</v>
      </c>
      <c r="L43" s="3" t="e">
        <f t="shared" si="0"/>
        <v>#REF!</v>
      </c>
      <c r="M43" s="3"/>
    </row>
    <row r="44" spans="1:13" hidden="1" x14ac:dyDescent="0.3">
      <c r="A44" s="189"/>
      <c r="B44" s="35" t="e">
        <f>IF(FRONT!#REF!="Core","Core",IF(FRONT!#REF!="Applied","Applied",IF(FRONT!#REF!="Specialized","Specialized",IF(FRONT!#REF!="Other_Subjects","Other_Subjects"))))</f>
        <v>#REF!</v>
      </c>
      <c r="C44" s="3"/>
      <c r="D44" s="3"/>
      <c r="E44" s="3"/>
      <c r="I44" s="190"/>
      <c r="J44" s="3" t="e">
        <f>FRONT!#REF!</f>
        <v>#REF!</v>
      </c>
      <c r="K44" s="3" t="e">
        <f>FRONT!#REF!</f>
        <v>#REF!</v>
      </c>
      <c r="L44" s="3" t="e">
        <f t="shared" si="0"/>
        <v>#REF!</v>
      </c>
      <c r="M44" s="3"/>
    </row>
    <row r="45" spans="1:13" hidden="1" x14ac:dyDescent="0.3">
      <c r="A45" s="189"/>
      <c r="B45" s="35" t="e">
        <f>IF(FRONT!#REF!="Core","Core",IF(FRONT!#REF!="Applied","Applied",IF(FRONT!#REF!="Specialized","Specialized",IF(FRONT!#REF!="Other_Subjects","Other_Subjects"))))</f>
        <v>#REF!</v>
      </c>
      <c r="C45" s="3"/>
      <c r="D45" s="3"/>
      <c r="E45" s="3"/>
      <c r="I45" s="190"/>
      <c r="J45" s="3">
        <f>FRONT!I103</f>
        <v>0</v>
      </c>
      <c r="K45" s="3" t="str">
        <f>FRONT!BI103</f>
        <v/>
      </c>
      <c r="L45" s="3" t="str">
        <f t="shared" si="0"/>
        <v/>
      </c>
      <c r="M45" s="3"/>
    </row>
    <row r="46" spans="1:13" hidden="1" x14ac:dyDescent="0.3">
      <c r="A46" s="189"/>
      <c r="B46" s="35" t="b">
        <f>IF(FRONT!A103="Core","Core",IF(FRONT!A103="Applied","Applied",IF(FRONT!A103="Specialized","Specialized",IF(FRONT!A103="Other_Subjects","Other_Subjects"))))</f>
        <v>0</v>
      </c>
      <c r="C46" s="3"/>
      <c r="D46" s="3"/>
      <c r="E46" s="3"/>
      <c r="I46" s="190"/>
      <c r="J46" s="3">
        <f>FRONT!I104</f>
        <v>0</v>
      </c>
      <c r="K46" s="3" t="str">
        <f>FRONT!BI104</f>
        <v/>
      </c>
      <c r="L46" s="3" t="str">
        <f t="shared" si="0"/>
        <v/>
      </c>
      <c r="M46" s="3"/>
    </row>
    <row r="47" spans="1:13" hidden="1" x14ac:dyDescent="0.3">
      <c r="A47" s="189"/>
      <c r="B47" s="35" t="b">
        <f>IF(FRONT!A104="Core","Core",IF(FRONT!A104="Applied","Applied",IF(FRONT!A104="Specialized","Specialized",IF(FRONT!A104="Other_Subjects","Other_Subjects"))))</f>
        <v>0</v>
      </c>
      <c r="C47" s="3"/>
      <c r="D47" s="3"/>
      <c r="E47" s="3"/>
      <c r="I47" s="189">
        <v>5</v>
      </c>
      <c r="J47" s="3" t="str">
        <f>BACK!I11</f>
        <v>21st Century Literature from the Philippines and the World</v>
      </c>
      <c r="K47" s="3" t="str">
        <f>BACK!BI11</f>
        <v>PASSED</v>
      </c>
      <c r="L47" s="3" t="str">
        <f t="shared" si="0"/>
        <v>∕</v>
      </c>
      <c r="M47" s="3"/>
    </row>
    <row r="48" spans="1:13" hidden="1" x14ac:dyDescent="0.3">
      <c r="A48" s="189"/>
      <c r="B48" s="35" t="b">
        <f>IF(FRONT!A105="Core","Core",IF(FRONT!A105="Applied","Applied",IF(FRONT!A105="Specialized","Specialized",IF(FRONT!A105="Other_Subjects","Other_Subjects"))))</f>
        <v>0</v>
      </c>
      <c r="C48" s="3"/>
      <c r="D48" s="3"/>
      <c r="E48" s="3"/>
      <c r="I48" s="189"/>
      <c r="J48" s="3" t="str">
        <f>BACK!I12</f>
        <v>Media and Information Literacy</v>
      </c>
      <c r="K48" s="3" t="str">
        <f>BACK!BI12</f>
        <v>PASSED</v>
      </c>
      <c r="L48" s="3" t="str">
        <f t="shared" si="0"/>
        <v>∕</v>
      </c>
      <c r="M48" s="3"/>
    </row>
    <row r="49" spans="1:13" hidden="1" x14ac:dyDescent="0.3">
      <c r="A49" s="189"/>
      <c r="B49" s="35" t="b">
        <f>IF(FRONT!A106="Core","Core",IF(FRONT!A106="Applied","Applied",IF(FRONT!A106="Specialized","Specialized",IF(FRONT!A106="Other_Subjects","Other_Subjects"))))</f>
        <v>0</v>
      </c>
      <c r="C49" s="3"/>
      <c r="D49" s="3"/>
      <c r="E49" s="3"/>
      <c r="I49" s="189"/>
      <c r="J49" s="3" t="str">
        <f>BACK!I13</f>
        <v>Understanding Culture, Society and Politics</v>
      </c>
      <c r="K49" s="3" t="str">
        <f>BACK!BI13</f>
        <v>PASSED</v>
      </c>
      <c r="L49" s="3" t="str">
        <f t="shared" si="0"/>
        <v>∕</v>
      </c>
      <c r="M49" s="3"/>
    </row>
    <row r="50" spans="1:13" hidden="1" x14ac:dyDescent="0.3">
      <c r="A50" s="189"/>
      <c r="B50" s="35" t="b">
        <f>IF(FRONT!A107="Core","Core",IF(FRONT!A107="Applied","Applied",IF(FRONT!A107="Specialized","Specialized",IF(FRONT!A107="Other_Subjects","Other_Subjects"))))</f>
        <v>0</v>
      </c>
      <c r="C50" s="3"/>
      <c r="D50" s="3"/>
      <c r="E50" s="3"/>
      <c r="I50" s="189"/>
      <c r="J50" s="3" t="str">
        <f>BACK!I14</f>
        <v>Introduction to the Philosophy of the Human Person/Pambungad sa Pilosopiya ng Tao</v>
      </c>
      <c r="K50" s="3" t="str">
        <f>BACK!BI14</f>
        <v>PASSED</v>
      </c>
      <c r="L50" s="3" t="str">
        <f t="shared" si="0"/>
        <v>∕</v>
      </c>
      <c r="M50" s="3"/>
    </row>
    <row r="51" spans="1:13" hidden="1" x14ac:dyDescent="0.3">
      <c r="A51" s="189"/>
      <c r="B51" s="38" t="b">
        <f>IF(FRONT!A108="Core","Core",IF(FRONT!A108="Applied","Applied",IF(FRONT!A108="Specialized","Specialized",IF(FRONT!A108="Other_Subjects","Other_Subjects"))))</f>
        <v>0</v>
      </c>
      <c r="C51" s="3"/>
      <c r="D51" s="3"/>
      <c r="E51" s="3"/>
      <c r="I51" s="189"/>
      <c r="J51" s="3" t="str">
        <f>BACK!I15</f>
        <v>Physical Education and Health</v>
      </c>
      <c r="K51" s="3" t="str">
        <f>BACK!BI15</f>
        <v>PASSED</v>
      </c>
      <c r="L51" s="3" t="str">
        <f t="shared" si="0"/>
        <v>∕</v>
      </c>
      <c r="M51" s="3"/>
    </row>
    <row r="52" spans="1:13" hidden="1" x14ac:dyDescent="0.3">
      <c r="A52" s="189">
        <v>5</v>
      </c>
      <c r="B52" s="35" t="str">
        <f>IF(BACK!A11="Core","Core",IF(BACK!A11="Applied","Applied",IF(BACK!A11="Specialized","Specialized",IF(BACK!A11="Other_Subjects","Other_Subjects"))))</f>
        <v>Core</v>
      </c>
      <c r="C52" s="3"/>
      <c r="D52" s="3"/>
      <c r="E52" s="3"/>
      <c r="I52" s="189"/>
      <c r="J52" s="3" t="str">
        <f>BACK!I16</f>
        <v>Filipino sa Piling Larang</v>
      </c>
      <c r="K52" s="3" t="str">
        <f>BACK!BI16</f>
        <v>PASSED</v>
      </c>
      <c r="L52" s="3" t="str">
        <f t="shared" si="0"/>
        <v>∕</v>
      </c>
      <c r="M52" s="3"/>
    </row>
    <row r="53" spans="1:13" hidden="1" x14ac:dyDescent="0.3">
      <c r="A53" s="189"/>
      <c r="B53" s="35" t="str">
        <f>IF(BACK!A12="Core","Core",IF(BACK!A12="Applied","Applied",IF(BACK!A12="Specialized","Specialized",IF(BACK!A12="Other_Subjects","Other_Subjects"))))</f>
        <v>Core</v>
      </c>
      <c r="C53" s="3"/>
      <c r="D53" s="3"/>
      <c r="E53" s="3"/>
      <c r="I53" s="189"/>
      <c r="J53" s="3" t="str">
        <f>BACK!I17</f>
        <v>Entrepreneurship</v>
      </c>
      <c r="K53" s="3" t="str">
        <f>BACK!BI17</f>
        <v>PASSED</v>
      </c>
      <c r="L53" s="3" t="str">
        <f t="shared" si="0"/>
        <v>∕</v>
      </c>
      <c r="M53" s="3"/>
    </row>
    <row r="54" spans="1:13" hidden="1" x14ac:dyDescent="0.3">
      <c r="A54" s="189"/>
      <c r="B54" s="35" t="str">
        <f>IF(BACK!A13="Core","Core",IF(BACK!A13="Applied","Applied",IF(BACK!A13="Specialized","Specialized",IF(BACK!A13="Other_Subjects","Other_Subjects"))))</f>
        <v>Core</v>
      </c>
      <c r="C54" s="3"/>
      <c r="D54" s="3"/>
      <c r="E54" s="3"/>
      <c r="I54" s="189"/>
      <c r="J54" s="3" t="str">
        <f>BACK!I18</f>
        <v>Fundamentals of Accountancy, Business and Management 2</v>
      </c>
      <c r="K54" s="3" t="str">
        <f>BACK!BI18</f>
        <v>PASSED</v>
      </c>
      <c r="L54" s="3" t="str">
        <f t="shared" si="0"/>
        <v>∕</v>
      </c>
      <c r="M54" s="3"/>
    </row>
    <row r="55" spans="1:13" hidden="1" x14ac:dyDescent="0.3">
      <c r="A55" s="189"/>
      <c r="B55" s="35" t="str">
        <f>IF(BACK!A14="Core","Core",IF(BACK!A14="Applied","Applied",IF(BACK!A14="Specialized","Specialized",IF(BACK!A14="Other_Subjects","Other_Subjects"))))</f>
        <v>Core</v>
      </c>
      <c r="C55" s="3"/>
      <c r="D55" s="3"/>
      <c r="E55" s="3"/>
      <c r="I55" s="189"/>
      <c r="J55" s="3" t="str">
        <f>BACK!I19</f>
        <v>Principles of Marketing</v>
      </c>
      <c r="K55" s="3" t="str">
        <f>BACK!BI19</f>
        <v>PASSED</v>
      </c>
      <c r="L55" s="3" t="str">
        <f t="shared" si="0"/>
        <v>∕</v>
      </c>
      <c r="M55" s="3"/>
    </row>
    <row r="56" spans="1:13" hidden="1" x14ac:dyDescent="0.3">
      <c r="A56" s="189"/>
      <c r="B56" s="35" t="str">
        <f>IF(BACK!A15="Core","Core",IF(BACK!A15="Applied","Applied",IF(BACK!A15="Specialized","Specialized",IF(BACK!A15="Other_Subjects","Other_Subjects"))))</f>
        <v>Core</v>
      </c>
      <c r="C56" s="3"/>
      <c r="D56" s="3"/>
      <c r="E56" s="3"/>
      <c r="I56" s="189"/>
      <c r="J56" s="3">
        <f>BACK!I20</f>
        <v>0</v>
      </c>
      <c r="K56" s="3" t="str">
        <f>BACK!BI20</f>
        <v/>
      </c>
      <c r="L56" s="3" t="str">
        <f t="shared" si="0"/>
        <v/>
      </c>
      <c r="M56" s="3"/>
    </row>
    <row r="57" spans="1:13" hidden="1" x14ac:dyDescent="0.3">
      <c r="A57" s="189"/>
      <c r="B57" s="35" t="str">
        <f>IF(BACK!A16="Core","Core",IF(BACK!A16="Applied","Applied",IF(BACK!A16="Specialized","Specialized",IF(BACK!A16="Other_Subjects","Other_Subjects"))))</f>
        <v>Applied</v>
      </c>
      <c r="C57" s="3"/>
      <c r="D57" s="3"/>
      <c r="E57" s="3"/>
      <c r="I57" s="189"/>
      <c r="J57" s="3">
        <f>BACK!I21</f>
        <v>0</v>
      </c>
      <c r="K57" s="3" t="str">
        <f>BACK!BI21</f>
        <v/>
      </c>
      <c r="L57" s="3" t="str">
        <f t="shared" si="0"/>
        <v/>
      </c>
      <c r="M57" s="3"/>
    </row>
    <row r="58" spans="1:13" hidden="1" x14ac:dyDescent="0.3">
      <c r="A58" s="189"/>
      <c r="B58" s="35" t="str">
        <f>IF(BACK!A17="Core","Core",IF(BACK!A17="Applied","Applied",IF(BACK!A17="Specialized","Specialized",IF(BACK!A17="Other_Subjects","Other_Subjects"))))</f>
        <v>Applied</v>
      </c>
      <c r="C58" s="3"/>
      <c r="D58" s="3"/>
      <c r="E58" s="3"/>
      <c r="I58" s="189"/>
      <c r="J58" s="3">
        <f>BACK!I22</f>
        <v>0</v>
      </c>
      <c r="K58" s="3" t="str">
        <f>BACK!BI22</f>
        <v/>
      </c>
      <c r="L58" s="3" t="str">
        <f t="shared" si="0"/>
        <v/>
      </c>
      <c r="M58" s="3"/>
    </row>
    <row r="59" spans="1:13" hidden="1" x14ac:dyDescent="0.3">
      <c r="A59" s="189"/>
      <c r="B59" s="35" t="str">
        <f>IF(BACK!A18="Core","Core",IF(BACK!A18="Applied","Applied",IF(BACK!A18="Specialized","Specialized",IF(BACK!A18="Other_Subjects","Other_Subjects"))))</f>
        <v>Specialized</v>
      </c>
      <c r="C59" s="3"/>
      <c r="D59" s="3"/>
      <c r="E59" s="3"/>
      <c r="I59" s="190">
        <v>6</v>
      </c>
      <c r="J59" s="3">
        <f>BACK!I38</f>
        <v>0</v>
      </c>
      <c r="K59" s="3" t="str">
        <f>BACK!BI38</f>
        <v/>
      </c>
      <c r="L59" s="3" t="str">
        <f t="shared" si="0"/>
        <v/>
      </c>
      <c r="M59" s="3"/>
    </row>
    <row r="60" spans="1:13" hidden="1" x14ac:dyDescent="0.3">
      <c r="A60" s="189"/>
      <c r="B60" s="35" t="str">
        <f>IF(BACK!A19="Core","Core",IF(BACK!A19="Applied","Applied",IF(BACK!A19="Specialized","Specialized",IF(BACK!A19="Other_Subjects","Other_Subjects"))))</f>
        <v>Specialized</v>
      </c>
      <c r="C60" s="3"/>
      <c r="D60" s="3"/>
      <c r="E60" s="3"/>
      <c r="I60" s="190"/>
      <c r="J60" s="3">
        <f>BACK!I39</f>
        <v>0</v>
      </c>
      <c r="K60" s="3" t="str">
        <f>BACK!BI39</f>
        <v/>
      </c>
      <c r="L60" s="3" t="str">
        <f t="shared" si="0"/>
        <v/>
      </c>
      <c r="M60" s="3"/>
    </row>
    <row r="61" spans="1:13" hidden="1" x14ac:dyDescent="0.3">
      <c r="A61" s="189"/>
      <c r="B61" s="35" t="b">
        <f>IF(BACK!A20="Core","Core",IF(BACK!A20="Applied","Applied",IF(BACK!A20="Specialized","Specialized",IF(BACK!A20="Other_Subjects","Other_Subjects"))))</f>
        <v>0</v>
      </c>
      <c r="C61" s="3"/>
      <c r="D61" s="3"/>
      <c r="E61" s="3"/>
      <c r="I61" s="190"/>
      <c r="J61" s="3" t="e">
        <f>BACK!#REF!</f>
        <v>#REF!</v>
      </c>
      <c r="K61" s="3" t="e">
        <f>BACK!#REF!</f>
        <v>#REF!</v>
      </c>
      <c r="L61" s="3" t="e">
        <f t="shared" si="0"/>
        <v>#REF!</v>
      </c>
      <c r="M61" s="3"/>
    </row>
    <row r="62" spans="1:13" hidden="1" x14ac:dyDescent="0.3">
      <c r="A62" s="189"/>
      <c r="B62" s="35" t="b">
        <f>IF(BACK!A21="Core","Core",IF(BACK!A21="Applied","Applied",IF(BACK!A21="Specialized","Specialized",IF(BACK!A21="Other_Subjects","Other_Subjects"))))</f>
        <v>0</v>
      </c>
      <c r="C62" s="3"/>
      <c r="D62" s="3"/>
      <c r="E62" s="3"/>
      <c r="I62" s="190"/>
      <c r="J62" s="3" t="e">
        <f>BACK!#REF!</f>
        <v>#REF!</v>
      </c>
      <c r="K62" s="3" t="e">
        <f>BACK!#REF!</f>
        <v>#REF!</v>
      </c>
      <c r="L62" s="3" t="e">
        <f t="shared" si="0"/>
        <v>#REF!</v>
      </c>
      <c r="M62" s="3"/>
    </row>
    <row r="63" spans="1:13" hidden="1" x14ac:dyDescent="0.3">
      <c r="A63" s="189"/>
      <c r="B63" s="35" t="b">
        <f>IF(BACK!A22="Core","Core",IF(BACK!A22="Applied","Applied",IF(BACK!A22="Specialized","Specialized",IF(BACK!A22="Other_Subjects","Other_Subjects"))))</f>
        <v>0</v>
      </c>
      <c r="C63" s="3"/>
      <c r="D63" s="3"/>
      <c r="E63" s="3"/>
      <c r="I63" s="190"/>
      <c r="J63" s="3" t="e">
        <f>BACK!#REF!</f>
        <v>#REF!</v>
      </c>
      <c r="K63" s="3" t="e">
        <f>BACK!#REF!</f>
        <v>#REF!</v>
      </c>
      <c r="L63" s="3" t="e">
        <f t="shared" si="0"/>
        <v>#REF!</v>
      </c>
      <c r="M63" s="3"/>
    </row>
    <row r="64" spans="1:13" hidden="1" x14ac:dyDescent="0.3">
      <c r="A64" s="189">
        <v>6</v>
      </c>
      <c r="B64" s="33" t="b">
        <f>IF(BACK!A38="Core","Core",IF(BACK!A38="Applied","Applied",IF(BACK!A38="Specialized","Specialized",IF(BACK!A38="Other_Subjects","Other_Subjects"))))</f>
        <v>0</v>
      </c>
      <c r="C64" s="3"/>
      <c r="D64" s="3"/>
      <c r="E64" s="3"/>
      <c r="I64" s="190"/>
      <c r="J64" s="3" t="e">
        <f>BACK!#REF!</f>
        <v>#REF!</v>
      </c>
      <c r="K64" s="3" t="e">
        <f>BACK!#REF!</f>
        <v>#REF!</v>
      </c>
      <c r="L64" s="3" t="e">
        <f t="shared" si="0"/>
        <v>#REF!</v>
      </c>
      <c r="M64" s="3"/>
    </row>
    <row r="65" spans="1:13" hidden="1" x14ac:dyDescent="0.3">
      <c r="A65" s="189"/>
      <c r="B65" s="35" t="b">
        <f>IF(BACK!A39="Core","Core",IF(BACK!A39="Applied","Applied",IF(BACK!A39="Specialized","Specialized",IF(BACK!A39="Other_Subjects","Other_Subjects"))))</f>
        <v>0</v>
      </c>
      <c r="C65" s="3"/>
      <c r="D65" s="3"/>
      <c r="E65" s="3"/>
      <c r="I65" s="190"/>
      <c r="J65" s="3">
        <f>BACK!I40</f>
        <v>0</v>
      </c>
      <c r="K65" s="3" t="str">
        <f>BACK!BI40</f>
        <v/>
      </c>
      <c r="L65" s="3" t="str">
        <f t="shared" si="0"/>
        <v/>
      </c>
      <c r="M65" s="3"/>
    </row>
    <row r="66" spans="1:13" hidden="1" x14ac:dyDescent="0.3">
      <c r="A66" s="189"/>
      <c r="B66" s="35" t="e">
        <f>IF(BACK!#REF!="Core","Core",IF(BACK!#REF!="Applied","Applied",IF(BACK!#REF!="Specialized","Specialized",IF(BACK!#REF!="Other_Subjects","Other_Subjects"))))</f>
        <v>#REF!</v>
      </c>
      <c r="C66" s="3"/>
      <c r="D66" s="3"/>
      <c r="E66" s="3"/>
      <c r="I66" s="190"/>
      <c r="J66" s="3">
        <f>BACK!I41</f>
        <v>0</v>
      </c>
      <c r="K66" s="3" t="str">
        <f>BACK!BI41</f>
        <v/>
      </c>
      <c r="L66" s="3" t="str">
        <f t="shared" si="0"/>
        <v/>
      </c>
      <c r="M66" s="3"/>
    </row>
    <row r="67" spans="1:13" hidden="1" x14ac:dyDescent="0.3">
      <c r="A67" s="189"/>
      <c r="B67" s="35" t="e">
        <f>IF(BACK!#REF!="Core","Core",IF(BACK!#REF!="Applied","Applied",IF(BACK!#REF!="Specialized","Specialized",IF(BACK!#REF!="Other_Subjects","Other_Subjects"))))</f>
        <v>#REF!</v>
      </c>
      <c r="C67" s="3"/>
      <c r="D67" s="3"/>
      <c r="E67" s="3"/>
      <c r="I67" s="189">
        <v>7</v>
      </c>
      <c r="J67" s="3" t="str">
        <f>BACK!I54</f>
        <v>Contemporary Philippine Arts from the Regions</v>
      </c>
      <c r="K67" s="3" t="str">
        <f>BACK!BI54</f>
        <v>PASSED</v>
      </c>
      <c r="L67" s="3" t="str">
        <f t="shared" si="0"/>
        <v>∕</v>
      </c>
      <c r="M67" s="3"/>
    </row>
    <row r="68" spans="1:13" hidden="1" x14ac:dyDescent="0.3">
      <c r="A68" s="189"/>
      <c r="B68" s="35" t="e">
        <f>IF(BACK!#REF!="Core","Core",IF(BACK!#REF!="Applied","Applied",IF(BACK!#REF!="Specialized","Specialized",IF(BACK!#REF!="Other_Subjects","Other_Subjects"))))</f>
        <v>#REF!</v>
      </c>
      <c r="C68" s="3"/>
      <c r="D68" s="3"/>
      <c r="E68" s="3"/>
      <c r="I68" s="189"/>
      <c r="J68" s="3" t="str">
        <f>BACK!I55</f>
        <v>Physical Education and Health</v>
      </c>
      <c r="K68" s="3" t="str">
        <f>BACK!BI55</f>
        <v>PASSED</v>
      </c>
      <c r="L68" s="3" t="str">
        <f t="shared" si="0"/>
        <v>∕</v>
      </c>
      <c r="M68" s="3"/>
    </row>
    <row r="69" spans="1:13" hidden="1" x14ac:dyDescent="0.3">
      <c r="A69" s="189"/>
      <c r="B69" s="35" t="e">
        <f>IF(BACK!#REF!="Core","Core",IF(BACK!#REF!="Applied","Applied",IF(BACK!#REF!="Specialized","Specialized",IF(BACK!#REF!="Other_Subjects","Other_Subjects"))))</f>
        <v>#REF!</v>
      </c>
      <c r="C69" s="3"/>
      <c r="D69" s="3"/>
      <c r="E69" s="3"/>
      <c r="I69" s="189"/>
      <c r="J69" s="3" t="str">
        <f>BACK!I56</f>
        <v>Inquiries, Investigations and Immersion</v>
      </c>
      <c r="K69" s="3" t="str">
        <f>BACK!BI56</f>
        <v>PASSED</v>
      </c>
      <c r="L69" s="3" t="str">
        <f t="shared" si="0"/>
        <v>∕</v>
      </c>
      <c r="M69" s="3"/>
    </row>
    <row r="70" spans="1:13" hidden="1" x14ac:dyDescent="0.3">
      <c r="A70" s="189"/>
      <c r="B70" s="35" t="b">
        <f>IF(BACK!A40="Core","Core",IF(BACK!A40="Applied","Applied",IF(BACK!A40="Specialized","Specialized",IF(BACK!A40="Other_Subjects","Other_Subjects"))))</f>
        <v>0</v>
      </c>
      <c r="C70" s="3"/>
      <c r="D70" s="3"/>
      <c r="E70" s="3"/>
      <c r="I70" s="189"/>
      <c r="J70" s="3" t="str">
        <f>BACK!I57</f>
        <v>Applied Economics</v>
      </c>
      <c r="K70" s="3" t="str">
        <f>BACK!BI57</f>
        <v>PASSED</v>
      </c>
      <c r="L70" s="3" t="str">
        <f t="shared" si="0"/>
        <v>∕</v>
      </c>
      <c r="M70" s="3"/>
    </row>
    <row r="71" spans="1:13" hidden="1" x14ac:dyDescent="0.3">
      <c r="A71" s="189"/>
      <c r="B71" s="35" t="b">
        <f>IF(BACK!A41="Core","Core",IF(BACK!A41="Applied","Applied",IF(BACK!A41="Specialized","Specialized",IF(BACK!A41="Other_Subjects","Other_Subjects"))))</f>
        <v>0</v>
      </c>
      <c r="C71" s="3"/>
      <c r="D71" s="3"/>
      <c r="E71" s="3"/>
      <c r="I71" s="189"/>
      <c r="J71" s="3" t="str">
        <f>BACK!I58</f>
        <v>Business Ethics and Social Responsibility</v>
      </c>
      <c r="K71" s="3" t="str">
        <f>BACK!BI58</f>
        <v>PASSED</v>
      </c>
      <c r="L71" s="3" t="str">
        <f t="shared" si="0"/>
        <v>∕</v>
      </c>
      <c r="M71" s="3"/>
    </row>
    <row r="72" spans="1:13" hidden="1" x14ac:dyDescent="0.3">
      <c r="A72" s="189"/>
      <c r="B72" s="35" t="b">
        <f>IF(BACK!A42="Core","Core",IF(BACK!A42="Applied","Applied",IF(BACK!A42="Specialized","Specialized",IF(BACK!A42="Other_Subjects","Other_Subjects"))))</f>
        <v>0</v>
      </c>
      <c r="C72" s="3"/>
      <c r="D72" s="3"/>
      <c r="E72" s="3"/>
      <c r="I72" s="189"/>
      <c r="J72" s="3" t="str">
        <f>BACK!I59</f>
        <v>Business Finance</v>
      </c>
      <c r="K72" s="3" t="str">
        <f>BACK!BI59</f>
        <v>PASSED</v>
      </c>
      <c r="L72" s="3" t="str">
        <f t="shared" ref="L72:L87" si="1">IF(K72="PASSED","∕","")</f>
        <v>∕</v>
      </c>
      <c r="M72" s="3"/>
    </row>
    <row r="73" spans="1:13" hidden="1" x14ac:dyDescent="0.3">
      <c r="A73" s="189"/>
      <c r="B73" s="35" t="b">
        <f>IF(BACK!A43="Core","Core",IF(BACK!A43="Applied","Applied",IF(BACK!A43="Specialized","Specialized",IF(BACK!A43="Other_Subjects","Other_Subjects"))))</f>
        <v>0</v>
      </c>
      <c r="C73" s="3"/>
      <c r="D73" s="3"/>
      <c r="E73" s="3"/>
      <c r="I73" s="189"/>
      <c r="J73" s="3" t="str">
        <f>BACK!I60</f>
        <v>Works Immersion/Research/Career Advocacy/Culminating Activity</v>
      </c>
      <c r="K73" s="3" t="str">
        <f>BACK!BI60</f>
        <v>PASSED</v>
      </c>
      <c r="L73" s="3" t="str">
        <f t="shared" si="1"/>
        <v>∕</v>
      </c>
      <c r="M73" s="3"/>
    </row>
    <row r="74" spans="1:13" hidden="1" x14ac:dyDescent="0.3">
      <c r="A74" s="189"/>
      <c r="B74" s="35" t="b">
        <f>IF(BACK!A44="Core","Core",IF(BACK!A44="Applied","Applied",IF(BACK!A44="Specialized","Specialized",IF(BACK!A44="Other_Subjects","Other_Subjects"))))</f>
        <v>0</v>
      </c>
      <c r="C74" s="3"/>
      <c r="D74" s="3"/>
      <c r="E74" s="3"/>
      <c r="I74" s="189"/>
      <c r="J74" s="3">
        <f>BACK!I61</f>
        <v>0</v>
      </c>
      <c r="K74" s="3" t="str">
        <f>BACK!BI61</f>
        <v/>
      </c>
      <c r="L74" s="16" t="str">
        <f t="shared" si="1"/>
        <v/>
      </c>
    </row>
    <row r="75" spans="1:13" hidden="1" x14ac:dyDescent="0.3">
      <c r="A75" s="189"/>
      <c r="B75" s="35" t="b">
        <f>IF(BACK!A45="Core","Core",IF(BACK!A45="Applied","Applied",IF(BACK!A45="Specialized","Specialized",IF(BACK!A45="Other_Subjects","Other_Subjects"))))</f>
        <v>0</v>
      </c>
      <c r="C75" s="3"/>
      <c r="D75" s="3"/>
      <c r="E75" s="3"/>
      <c r="I75" s="189"/>
      <c r="J75" s="3">
        <f>BACK!I62</f>
        <v>0</v>
      </c>
      <c r="K75" s="3" t="str">
        <f>BACK!BI62</f>
        <v/>
      </c>
      <c r="L75" s="16" t="str">
        <f t="shared" si="1"/>
        <v/>
      </c>
    </row>
    <row r="76" spans="1:13" hidden="1" x14ac:dyDescent="0.3">
      <c r="A76" s="189">
        <v>7</v>
      </c>
      <c r="B76" s="33" t="str">
        <f>IF(BACK!A54="Core","Core",IF(BACK!A54="Applied","Applied",IF(BACK!A54="Specialized","Specialized",IF(BACK!A54="Other_Subjects","Other_Subjects"))))</f>
        <v>Core</v>
      </c>
      <c r="I76" s="189"/>
      <c r="J76" s="3">
        <f>BACK!I63</f>
        <v>0</v>
      </c>
      <c r="K76" s="3" t="str">
        <f>BACK!BI63</f>
        <v/>
      </c>
      <c r="L76" s="16" t="str">
        <f t="shared" si="1"/>
        <v/>
      </c>
    </row>
    <row r="77" spans="1:13" hidden="1" x14ac:dyDescent="0.3">
      <c r="A77" s="189"/>
      <c r="B77" s="35" t="str">
        <f>IF(BACK!A55="Core","Core",IF(BACK!A55="Applied","Applied",IF(BACK!A55="Specialized","Specialized",IF(BACK!A55="Other_Subjects","Other_Subjects"))))</f>
        <v>Core</v>
      </c>
      <c r="I77" s="189"/>
      <c r="J77" s="3">
        <f>BACK!I64</f>
        <v>0</v>
      </c>
      <c r="K77" s="3" t="str">
        <f>BACK!BI64</f>
        <v/>
      </c>
      <c r="L77" s="16" t="str">
        <f t="shared" si="1"/>
        <v/>
      </c>
    </row>
    <row r="78" spans="1:13" hidden="1" x14ac:dyDescent="0.3">
      <c r="A78" s="189"/>
      <c r="B78" s="35" t="str">
        <f>IF(BACK!A56="Core","Core",IF(BACK!A56="Applied","Applied",IF(BACK!A56="Specialized","Specialized",IF(BACK!A56="Other_Subjects","Other_Subjects"))))</f>
        <v>Applied</v>
      </c>
      <c r="I78" s="189"/>
      <c r="J78" s="3">
        <f>BACK!I65</f>
        <v>0</v>
      </c>
      <c r="K78" s="3" t="str">
        <f>BACK!BI65</f>
        <v/>
      </c>
      <c r="L78" s="16" t="str">
        <f t="shared" si="1"/>
        <v/>
      </c>
    </row>
    <row r="79" spans="1:13" hidden="1" x14ac:dyDescent="0.3">
      <c r="A79" s="189"/>
      <c r="B79" s="35" t="str">
        <f>IF(BACK!A57="Core","Core",IF(BACK!A57="Applied","Applied",IF(BACK!A57="Specialized","Specialized",IF(BACK!A57="Other_Subjects","Other_Subjects"))))</f>
        <v>Specialized</v>
      </c>
      <c r="I79" s="190">
        <v>8</v>
      </c>
      <c r="J79" s="3">
        <f>BACK!I81</f>
        <v>0</v>
      </c>
      <c r="K79" s="3" t="str">
        <f>BACK!BI81</f>
        <v/>
      </c>
      <c r="L79" s="16" t="str">
        <f t="shared" si="1"/>
        <v/>
      </c>
    </row>
    <row r="80" spans="1:13" hidden="1" x14ac:dyDescent="0.3">
      <c r="A80" s="189"/>
      <c r="B80" s="35" t="str">
        <f>IF(BACK!A58="Core","Core",IF(BACK!A58="Applied","Applied",IF(BACK!A58="Specialized","Specialized",IF(BACK!A58="Other_Subjects","Other_Subjects"))))</f>
        <v>Specialized</v>
      </c>
      <c r="I80" s="190"/>
      <c r="J80" s="3">
        <f>BACK!I82</f>
        <v>0</v>
      </c>
      <c r="K80" s="3" t="str">
        <f>BACK!BI82</f>
        <v/>
      </c>
      <c r="L80" s="16" t="str">
        <f t="shared" si="1"/>
        <v/>
      </c>
    </row>
    <row r="81" spans="1:12" hidden="1" x14ac:dyDescent="0.3">
      <c r="A81" s="189"/>
      <c r="B81" s="35" t="str">
        <f>IF(BACK!A59="Core","Core",IF(BACK!A59="Applied","Applied",IF(BACK!A59="Specialized","Specialized",IF(BACK!A59="Other_Subjects","Other_Subjects"))))</f>
        <v>Specialized</v>
      </c>
      <c r="I81" s="190"/>
      <c r="J81" s="3" t="e">
        <f>BACK!#REF!</f>
        <v>#REF!</v>
      </c>
      <c r="K81" s="3" t="e">
        <f>BACK!#REF!</f>
        <v>#REF!</v>
      </c>
      <c r="L81" s="16" t="e">
        <f t="shared" si="1"/>
        <v>#REF!</v>
      </c>
    </row>
    <row r="82" spans="1:12" hidden="1" x14ac:dyDescent="0.3">
      <c r="A82" s="189"/>
      <c r="B82" s="35" t="str">
        <f>IF(BACK!A60="Core","Core",IF(BACK!A60="Applied","Applied",IF(BACK!A60="Specialized","Specialized",IF(BACK!A60="Other_Subjects","Other_Subjects"))))</f>
        <v>Specialized</v>
      </c>
      <c r="I82" s="190"/>
      <c r="J82" s="3" t="e">
        <f>BACK!#REF!</f>
        <v>#REF!</v>
      </c>
      <c r="K82" s="3" t="e">
        <f>BACK!#REF!</f>
        <v>#REF!</v>
      </c>
      <c r="L82" s="16" t="e">
        <f t="shared" si="1"/>
        <v>#REF!</v>
      </c>
    </row>
    <row r="83" spans="1:12" hidden="1" x14ac:dyDescent="0.3">
      <c r="A83" s="189"/>
      <c r="B83" s="35" t="b">
        <f>IF(BACK!A61="Core","Core",IF(BACK!A61="Applied","Applied",IF(BACK!A61="Specialized","Specialized",IF(BACK!A61="Other_Subjects","Other_Subjects"))))</f>
        <v>0</v>
      </c>
      <c r="I83" s="190"/>
      <c r="J83" s="3" t="e">
        <f>BACK!#REF!</f>
        <v>#REF!</v>
      </c>
      <c r="K83" s="3" t="e">
        <f>BACK!#REF!</f>
        <v>#REF!</v>
      </c>
      <c r="L83" s="16" t="e">
        <f t="shared" si="1"/>
        <v>#REF!</v>
      </c>
    </row>
    <row r="84" spans="1:12" hidden="1" x14ac:dyDescent="0.3">
      <c r="A84" s="189"/>
      <c r="B84" s="35" t="b">
        <f>IF(BACK!A62="Core","Core",IF(BACK!A62="Applied","Applied",IF(BACK!A62="Specialized","Specialized",IF(BACK!A62="Other_Subjects","Other_Subjects"))))</f>
        <v>0</v>
      </c>
      <c r="I84" s="190"/>
      <c r="J84" s="3" t="e">
        <f>BACK!#REF!</f>
        <v>#REF!</v>
      </c>
      <c r="K84" s="3" t="e">
        <f>BACK!#REF!</f>
        <v>#REF!</v>
      </c>
      <c r="L84" s="16" t="e">
        <f t="shared" si="1"/>
        <v>#REF!</v>
      </c>
    </row>
    <row r="85" spans="1:12" hidden="1" x14ac:dyDescent="0.3">
      <c r="A85" s="189"/>
      <c r="B85" s="35" t="b">
        <f>IF(BACK!A63="Core","Core",IF(BACK!A63="Applied","Applied",IF(BACK!A63="Specialized","Specialized",IF(BACK!A63="Other_Subjects","Other_Subjects"))))</f>
        <v>0</v>
      </c>
      <c r="I85" s="190"/>
      <c r="J85" s="3">
        <f>BACK!I83</f>
        <v>0</v>
      </c>
      <c r="K85" s="3" t="str">
        <f>BACK!BI83</f>
        <v/>
      </c>
      <c r="L85" s="16" t="str">
        <f t="shared" si="1"/>
        <v/>
      </c>
    </row>
    <row r="86" spans="1:12" hidden="1" x14ac:dyDescent="0.3">
      <c r="A86" s="189"/>
      <c r="B86" s="35" t="b">
        <f>IF(BACK!A64="Core","Core",IF(BACK!A64="Applied","Applied",IF(BACK!A64="Specialized","Specialized",IF(BACK!A64="Other_Subjects","Other_Subjects"))))</f>
        <v>0</v>
      </c>
      <c r="I86" s="190"/>
      <c r="J86" s="3">
        <f>BACK!I84</f>
        <v>0</v>
      </c>
      <c r="K86" s="3" t="str">
        <f>BACK!BI84</f>
        <v/>
      </c>
      <c r="L86" s="16" t="str">
        <f t="shared" si="1"/>
        <v/>
      </c>
    </row>
    <row r="87" spans="1:12" hidden="1" x14ac:dyDescent="0.3">
      <c r="A87" s="189"/>
      <c r="B87" s="35" t="b">
        <f>IF(BACK!A65="Core","Core",IF(BACK!A65="Applied","Applied",IF(BACK!A65="Specialized","Specialized",IF(BACK!A65="Other_Subjects","Other_Subjects"))))</f>
        <v>0</v>
      </c>
      <c r="L87" s="16" t="str">
        <f t="shared" si="1"/>
        <v/>
      </c>
    </row>
    <row r="88" spans="1:12" hidden="1" x14ac:dyDescent="0.3">
      <c r="A88" s="189">
        <v>8</v>
      </c>
      <c r="B88" s="33" t="b">
        <f>IF(BACK!A81="Core","Core",IF(BACK!A81="Applied","Applied",IF(BACK!A81="Specialized","Specialized",IF(BACK!A81="Other_Subjects","Other_Subjects"))))</f>
        <v>0</v>
      </c>
    </row>
    <row r="89" spans="1:12" hidden="1" x14ac:dyDescent="0.3">
      <c r="A89" s="189"/>
      <c r="B89" s="35" t="b">
        <f>IF(BACK!A82="Core","Core",IF(BACK!A82="Applied","Applied",IF(BACK!A82="Specialized","Specialized",IF(BACK!A82="Other_Subjects","Other_Subjects"))))</f>
        <v>0</v>
      </c>
    </row>
    <row r="90" spans="1:12" hidden="1" x14ac:dyDescent="0.3">
      <c r="A90" s="189"/>
      <c r="B90" s="35" t="e">
        <f>IF(BACK!#REF!="Core","Core",IF(BACK!#REF!="Applied","Applied",IF(BACK!#REF!="Specialized","Specialized",IF(BACK!#REF!="Other_Subjects","Other_Subjects"))))</f>
        <v>#REF!</v>
      </c>
    </row>
    <row r="91" spans="1:12" hidden="1" x14ac:dyDescent="0.3">
      <c r="A91" s="189"/>
      <c r="B91" s="35" t="e">
        <f>IF(BACK!#REF!="Core","Core",IF(BACK!#REF!="Applied","Applied",IF(BACK!#REF!="Specialized","Specialized",IF(BACK!#REF!="Other_Subjects","Other_Subjects"))))</f>
        <v>#REF!</v>
      </c>
    </row>
    <row r="92" spans="1:12" hidden="1" x14ac:dyDescent="0.3">
      <c r="A92" s="189"/>
      <c r="B92" s="35" t="e">
        <f>IF(BACK!#REF!="Core","Core",IF(BACK!#REF!="Applied","Applied",IF(BACK!#REF!="Specialized","Specialized",IF(BACK!#REF!="Other_Subjects","Other_Subjects"))))</f>
        <v>#REF!</v>
      </c>
    </row>
    <row r="93" spans="1:12" hidden="1" x14ac:dyDescent="0.3">
      <c r="A93" s="189"/>
      <c r="B93" s="35" t="e">
        <f>IF(BACK!#REF!="Core","Core",IF(BACK!#REF!="Applied","Applied",IF(BACK!#REF!="Specialized","Specialized",IF(BACK!#REF!="Other_Subjects","Other_Subjects"))))</f>
        <v>#REF!</v>
      </c>
    </row>
    <row r="94" spans="1:12" hidden="1" x14ac:dyDescent="0.3">
      <c r="A94" s="189"/>
      <c r="B94" s="35" t="b">
        <f>IF(BACK!A83="Core","Core",IF(BACK!A83="Applied","Applied",IF(BACK!A83="Specialized","Specialized",IF(BACK!A83="Other_Subjects","Other_Subjects"))))</f>
        <v>0</v>
      </c>
    </row>
    <row r="95" spans="1:12" hidden="1" x14ac:dyDescent="0.3">
      <c r="A95" s="189"/>
      <c r="B95" s="35" t="b">
        <f>IF(BACK!A84="Core","Core",IF(BACK!A84="Applied","Applied",IF(BACK!A84="Specialized","Specialized",IF(BACK!A84="Other_Subjects","Other_Subjects"))))</f>
        <v>0</v>
      </c>
    </row>
    <row r="96" spans="1:12" hidden="1" x14ac:dyDescent="0.3">
      <c r="A96" s="189"/>
      <c r="B96" s="35" t="b">
        <f>IF(BACK!A85="Core","Core",IF(BACK!A85="Applied","Applied",IF(BACK!A85="Specialized","Specialized",IF(BACK!A85="Other_Subjects","Other_Subjects"))))</f>
        <v>0</v>
      </c>
    </row>
    <row r="97" spans="1:2" hidden="1" x14ac:dyDescent="0.3">
      <c r="A97" s="189"/>
      <c r="B97" s="35" t="b">
        <f>IF(BACK!A86="Core","Core",IF(BACK!A86="Applied","Applied",IF(BACK!A86="Specialized","Specialized",IF(BACK!A86="Other_Subjects","Other_Subjects"))))</f>
        <v>0</v>
      </c>
    </row>
    <row r="98" spans="1:2" hidden="1" x14ac:dyDescent="0.3">
      <c r="A98" s="189"/>
      <c r="B98" s="35" t="b">
        <f>IF(BACK!A87="Core","Core",IF(BACK!A87="Applied","Applied",IF(BACK!A87="Specialized","Specialized",IF(BACK!A87="Other_Subjects","Other_Subjects"))))</f>
        <v>0</v>
      </c>
    </row>
    <row r="99" spans="1:2" hidden="1" x14ac:dyDescent="0.3">
      <c r="A99" s="189"/>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2026-02-02T06:36:38Z</cp:lastPrinted>
  <dcterms:created xsi:type="dcterms:W3CDTF">2016-08-03T07:51:07Z</dcterms:created>
  <dcterms:modified xsi:type="dcterms:W3CDTF">2026-02-02T06:37:38Z</dcterms:modified>
</cp:coreProperties>
</file>