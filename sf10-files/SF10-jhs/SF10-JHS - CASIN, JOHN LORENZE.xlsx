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"/>
    </mc:Choice>
  </mc:AlternateContent>
  <xr:revisionPtr revIDLastSave="0" documentId="13_ncr:1_{25E95D17-6732-4515-BCF6-FAC191B7A797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6" i="3" l="1"/>
  <c r="AJ33" i="3"/>
  <c r="AJ36" i="4" l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50" i="4" l="1"/>
  <c r="AJ22" i="4"/>
  <c r="AJ40" i="3"/>
</calcChain>
</file>

<file path=xl/sharedStrings.xml><?xml version="1.0" encoding="utf-8"?>
<sst xmlns="http://schemas.openxmlformats.org/spreadsheetml/2006/main" count="342" uniqueCount="115">
  <si>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</si>
  <si>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</si>
  <si>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</si>
  <si>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</si>
  <si>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</si>
  <si>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</si>
  <si>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</si>
  <si>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</si>
  <si>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</si>
  <si>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</si>
  <si>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</si>
  <si>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</si>
  <si>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</si>
  <si>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</si>
  <si>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</si>
  <si>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</si>
  <si>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</si>
  <si>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</si>
  <si>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</si>
  <si>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</si>
  <si>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</si>
  <si>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</si>
  <si>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</si>
  <si>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</si>
  <si>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</si>
  <si>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</si>
  <si>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</si>
  <si>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</si>
  <si>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</si>
  <si>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</si>
  <si>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</si>
  <si>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</si>
  <si>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</si>
  <si>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</si>
  <si>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</si>
  <si>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</si>
  <si>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</si>
  <si>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</si>
  <si>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</si>
  <si>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</si>
  <si>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</si>
  <si>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</si>
  <si>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</si>
  <si>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</si>
  <si>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</si>
  <si>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</si>
  <si>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</si>
  <si>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</si>
  <si>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</si>
  <si>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</si>
  <si>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</si>
  <si>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</si>
  <si>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</si>
  <si>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</si>
  <si>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</si>
  <si>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</si>
  <si>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</si>
  <si>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</si>
  <si>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</si>
  <si>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</si>
  <si>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</si>
  <si>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</si>
  <si>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</si>
  <si>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</si>
  <si>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</si>
  <si>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</si>
  <si>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</si>
  <si>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</si>
  <si>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</si>
  <si>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</si>
  <si>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</si>
  <si>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</si>
  <si>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</si>
  <si>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</si>
  <si>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</si>
  <si>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</si>
  <si>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</si>
  <si>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</si>
  <si>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</si>
  <si>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</si>
  <si>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</si>
  <si>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</si>
  <si>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</si>
  <si>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</si>
  <si>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</si>
  <si>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</si>
  <si>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</si>
  <si>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CRISTOBAL A. SAYAGO, ED.D</t>
  </si>
  <si>
    <t>Passed</t>
  </si>
  <si>
    <t>Promoted</t>
  </si>
  <si>
    <t>Homeroom Guidance</t>
  </si>
  <si>
    <t>CAT (Citizenship Advancement Training)</t>
  </si>
  <si>
    <t>PANTAO  ELEMENTARY SCHOOL</t>
  </si>
  <si>
    <t>PANTAO, LIBON, ALBAY</t>
  </si>
  <si>
    <t xml:space="preserve">Copy for </t>
  </si>
  <si>
    <t>CASIN</t>
  </si>
  <si>
    <t>JOHN LORENZE</t>
  </si>
  <si>
    <t>BATALLER</t>
  </si>
  <si>
    <t>MALE</t>
  </si>
  <si>
    <t>ROSE</t>
  </si>
  <si>
    <t>2017-2018</t>
  </si>
  <si>
    <t>ILYN D. OZAETA</t>
  </si>
  <si>
    <t>ACACIA</t>
  </si>
  <si>
    <t>2018-2019</t>
  </si>
  <si>
    <t>LEA M. LUMBES</t>
  </si>
  <si>
    <t>THOMAS</t>
  </si>
  <si>
    <t>2019-2020</t>
  </si>
  <si>
    <t>MHEALYN B. SAPALICIO</t>
  </si>
  <si>
    <t>DIAMOND</t>
  </si>
  <si>
    <t>2020-2021</t>
  </si>
  <si>
    <t>JOHNA C. CASIM</t>
  </si>
  <si>
    <t>JOHN LORENZE B. CASIN</t>
  </si>
  <si>
    <t>`111798100081</t>
  </si>
  <si>
    <t>SEPTEMBER 10, 2024.</t>
  </si>
  <si>
    <r>
      <t xml:space="preserve">Copy for </t>
    </r>
    <r>
      <rPr>
        <b/>
        <i/>
        <sz val="11"/>
        <color theme="1"/>
        <rFont val="Arial Narrow"/>
        <family val="2"/>
      </rPr>
      <t>LIBON COMMUNITY COLLEGE SENIOR HIGH SCHOOL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</si>
</sst>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0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5" fillId="0" borderId="4" xfId="0" applyFont="1" applyBorder="1"/>
    <xf numFmtId="0" fontId="1" fillId="0" borderId="28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4" xfId="0" applyFont="1" applyBorder="1"/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3" xfId="0" applyFont="1" applyBorder="1" applyAlignment="1">
      <alignment horizontal="center"/>
    </xf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" xfId="0" applyFont="1" applyBorder="1"/>
    <xf numFmtId="1" fontId="1" fillId="0" borderId="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10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1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0</xdr:colOff>
      <xdr:row>49</xdr:row>
      <xdr:rowOff>0</xdr:rowOff>
    </xdr:from>
    <xdr:to>
      <xdr:col>52</xdr:col>
      <xdr:colOff>53340</xdr:colOff>
      <xdr:row>51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CD641C3-EF69-43DE-A9C4-F729B7D49429}"/>
            </a:ext>
          </a:extLst>
        </xdr:cNvPr>
        <xdr:cNvPicPr/>
      </xdr:nvPicPr>
      <xdr:blipFill rotWithShape="1">
        <a:blip xmlns:r="http://schemas.openxmlformats.org/officeDocument/2006/relationships" r:embed="rId3">
          <a:biLevel thresh="75000"/>
        </a:blip>
        <a:srcRect l="12085" r="18007"/>
        <a:stretch/>
      </xdr:blipFill>
      <xdr:spPr bwMode="auto">
        <a:xfrm>
          <a:off x="7802880" y="8122920"/>
          <a:ext cx="784860" cy="2438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0</xdr:colOff>
      <xdr:row>3</xdr:row>
      <xdr:rowOff>0</xdr:rowOff>
    </xdr:from>
    <xdr:to>
      <xdr:col>53</xdr:col>
      <xdr:colOff>163195</xdr:colOff>
      <xdr:row>5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B00E68-1FEE-4B87-A1B8-F8FF5FB8638B}"/>
            </a:ext>
          </a:extLst>
        </xdr:cNvPr>
        <xdr:cNvPicPr/>
      </xdr:nvPicPr>
      <xdr:blipFill>
        <a:blip xmlns:r="http://schemas.openxmlformats.org/officeDocument/2006/relationships" r:embed="rId1">
          <a:biLevel thresh="75000"/>
        </a:blip>
        <a:stretch>
          <a:fillRect/>
        </a:stretch>
      </xdr:blipFill>
      <xdr:spPr>
        <a:xfrm>
          <a:off x="7840980" y="403860"/>
          <a:ext cx="1077595" cy="25908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30</xdr:row>
      <xdr:rowOff>152400</xdr:rowOff>
    </xdr:from>
    <xdr:to>
      <xdr:col>51</xdr:col>
      <xdr:colOff>179070</xdr:colOff>
      <xdr:row>33</xdr:row>
      <xdr:rowOff>30481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1037EC-8BD1-456B-A5AC-7A18ED07CB26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0980" y="4869180"/>
          <a:ext cx="727710" cy="259081"/>
        </a:xfrm>
        <a:prstGeom prst="rect">
          <a:avLst/>
        </a:prstGeom>
        <a:solidFill>
          <a:sysClr val="window" lastClr="FFFFFF">
            <a:alpha val="40000"/>
          </a:sysClr>
        </a:solidFill>
        <a:effectLst>
          <a:outerShdw blurRad="50800" dist="50800" dir="5400000" algn="ctr" rotWithShape="0">
            <a:sysClr val="window" lastClr="FFFFFF"/>
          </a:outerShdw>
        </a:effectLst>
        <a:scene3d>
          <a:camera prst="orthographicFront"/>
          <a:lightRig rig="threePt" dir="t"/>
        </a:scene3d>
        <a:sp3d extrusionH="76200" contourW="12700">
          <a:extrusionClr>
            <a:sysClr val="window" lastClr="FFFFFF"/>
          </a:extrusionClr>
          <a:contourClr>
            <a:sysClr val="window" lastClr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opLeftCell="A53" zoomScaleNormal="100" zoomScaleSheetLayoutView="110" workbookViewId="0">
      <selection activeCell="S82" sqref="S82:AK83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111" t="s">
        <v>0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</row>
    <row r="3" spans="2:55" x14ac:dyDescent="0.25">
      <c r="B3" s="111" t="s">
        <v>31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</row>
    <row r="4" spans="2:55" ht="18.75" customHeight="1" x14ac:dyDescent="0.35">
      <c r="B4" s="110" t="s">
        <v>23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</row>
    <row r="5" spans="2:55" ht="14.4" thickBot="1" x14ac:dyDescent="0.3">
      <c r="B5" s="109" t="s">
        <v>25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</row>
    <row r="6" spans="2:55" ht="18.600000000000001" thickBot="1" x14ac:dyDescent="0.4">
      <c r="B6" s="115" t="s">
        <v>16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7"/>
    </row>
    <row r="7" spans="2:55" x14ac:dyDescent="0.25">
      <c r="B7" s="85" t="s">
        <v>30</v>
      </c>
      <c r="C7" s="85"/>
      <c r="D7" s="85"/>
      <c r="E7" s="85"/>
      <c r="F7" s="85"/>
      <c r="G7" s="50" t="s">
        <v>95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86" t="s">
        <v>32</v>
      </c>
      <c r="S7" s="86"/>
      <c r="T7" s="86"/>
      <c r="U7" s="86"/>
      <c r="V7" s="86"/>
      <c r="W7" s="50" t="s">
        <v>96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86" t="s">
        <v>51</v>
      </c>
      <c r="AI7" s="86"/>
      <c r="AJ7" s="86"/>
      <c r="AK7" s="86"/>
      <c r="AL7" s="86"/>
      <c r="AM7" s="86"/>
      <c r="AN7" s="98"/>
      <c r="AO7" s="98"/>
      <c r="AP7" s="98"/>
      <c r="AQ7" s="86" t="s">
        <v>33</v>
      </c>
      <c r="AR7" s="86"/>
      <c r="AS7" s="86"/>
      <c r="AT7" s="86"/>
      <c r="AU7" s="86"/>
      <c r="AV7" s="86"/>
      <c r="AW7" s="86"/>
      <c r="AX7" s="50" t="s">
        <v>97</v>
      </c>
      <c r="AY7" s="50"/>
      <c r="AZ7" s="50"/>
      <c r="BA7" s="50"/>
      <c r="BB7" s="50"/>
      <c r="BC7" s="50"/>
    </row>
    <row r="8" spans="2:55" x14ac:dyDescent="0.25">
      <c r="B8" s="85" t="s">
        <v>52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120">
        <v>111798100081</v>
      </c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88" t="s">
        <v>34</v>
      </c>
      <c r="AA8" s="88"/>
      <c r="AB8" s="88"/>
      <c r="AC8" s="88"/>
      <c r="AD8" s="88"/>
      <c r="AE8" s="88"/>
      <c r="AF8" s="88"/>
      <c r="AG8" s="88"/>
      <c r="AH8" s="119">
        <v>38295</v>
      </c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86" t="s">
        <v>53</v>
      </c>
      <c r="AT8" s="86"/>
      <c r="AU8" s="86"/>
      <c r="AV8" s="50" t="s">
        <v>98</v>
      </c>
      <c r="AW8" s="50"/>
      <c r="AX8" s="50"/>
      <c r="AY8" s="50"/>
      <c r="AZ8" s="50"/>
      <c r="BA8" s="50"/>
      <c r="BB8" s="50"/>
      <c r="BC8" s="50"/>
    </row>
    <row r="9" spans="2:55" ht="14.4" thickBo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76"/>
      <c r="AY9" s="76"/>
      <c r="AZ9" s="76"/>
      <c r="BA9" s="76"/>
      <c r="BB9" s="76"/>
      <c r="BC9" s="76"/>
    </row>
    <row r="10" spans="2:55" ht="18.600000000000001" thickBot="1" x14ac:dyDescent="0.4">
      <c r="B10" s="115" t="s">
        <v>17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</row>
    <row r="11" spans="2:55" ht="5.25" customHeight="1" x14ac:dyDescent="0.25"/>
    <row r="12" spans="2:55" x14ac:dyDescent="0.25">
      <c r="B12" s="87"/>
      <c r="C12" s="76"/>
      <c r="D12" s="76" t="s">
        <v>18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88" t="s">
        <v>20</v>
      </c>
      <c r="X12" s="88"/>
      <c r="Y12" s="88"/>
      <c r="Z12" s="88"/>
      <c r="AA12" s="88"/>
      <c r="AB12" s="88"/>
      <c r="AC12" s="89">
        <v>80.599999999999994</v>
      </c>
      <c r="AD12" s="89"/>
      <c r="AE12" s="89"/>
      <c r="AF12" s="76"/>
      <c r="AG12" s="76"/>
      <c r="AH12" s="76"/>
      <c r="AI12" s="76"/>
      <c r="AJ12" s="88" t="s">
        <v>54</v>
      </c>
      <c r="AK12" s="88"/>
      <c r="AL12" s="88"/>
      <c r="AM12" s="88"/>
      <c r="AN12" s="88"/>
      <c r="AO12" s="88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90"/>
    </row>
    <row r="13" spans="2:55" x14ac:dyDescent="0.25">
      <c r="B13" s="73"/>
      <c r="C13" s="74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50" t="s">
        <v>92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75" t="s">
        <v>28</v>
      </c>
      <c r="AD13" s="75"/>
      <c r="AE13" s="75"/>
      <c r="AF13" s="75"/>
      <c r="AG13" s="75"/>
      <c r="AH13" s="50">
        <v>111798</v>
      </c>
      <c r="AI13" s="50"/>
      <c r="AJ13" s="50"/>
      <c r="AK13" s="75" t="s">
        <v>36</v>
      </c>
      <c r="AL13" s="75"/>
      <c r="AM13" s="75"/>
      <c r="AN13" s="75"/>
      <c r="AO13" s="75"/>
      <c r="AP13" s="75"/>
      <c r="AQ13" s="75"/>
      <c r="AR13" s="89" t="s">
        <v>93</v>
      </c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90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85" t="s">
        <v>21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</row>
    <row r="16" spans="2:55" x14ac:dyDescent="0.25">
      <c r="B16" s="85"/>
      <c r="C16" s="85"/>
      <c r="D16" s="85" t="s">
        <v>48</v>
      </c>
      <c r="E16" s="85"/>
      <c r="F16" s="85"/>
      <c r="G16" s="85"/>
      <c r="H16" s="85"/>
      <c r="I16" s="86" t="s">
        <v>49</v>
      </c>
      <c r="J16" s="86"/>
      <c r="K16" s="86"/>
      <c r="L16" s="98"/>
      <c r="M16" s="98"/>
      <c r="N16" s="98"/>
      <c r="O16" s="98"/>
      <c r="P16" s="98"/>
      <c r="Q16" s="98"/>
      <c r="R16" s="47"/>
      <c r="S16" s="47"/>
      <c r="T16" s="47"/>
      <c r="U16" s="47"/>
      <c r="V16" s="47"/>
      <c r="W16" s="47"/>
      <c r="X16" s="85" t="s">
        <v>56</v>
      </c>
      <c r="Y16" s="85"/>
      <c r="Z16" s="85"/>
      <c r="AA16" s="85"/>
      <c r="AB16" s="85"/>
      <c r="AC16" s="85"/>
      <c r="AD16" s="85"/>
      <c r="AE16" s="85"/>
      <c r="AF16" s="85" t="s">
        <v>49</v>
      </c>
      <c r="AG16" s="85"/>
      <c r="AH16" s="85"/>
      <c r="AI16" s="98"/>
      <c r="AJ16" s="98"/>
      <c r="AK16" s="98"/>
      <c r="AL16" s="98"/>
      <c r="AM16" s="98"/>
      <c r="AN16" s="85"/>
      <c r="AO16" s="85"/>
      <c r="AP16" s="85"/>
      <c r="AQ16" s="86" t="s">
        <v>38</v>
      </c>
      <c r="AR16" s="86"/>
      <c r="AS16" s="86"/>
      <c r="AT16" s="86"/>
      <c r="AU16" s="86"/>
      <c r="AV16" s="86"/>
      <c r="AW16" s="86"/>
      <c r="AX16" s="98"/>
      <c r="AY16" s="98"/>
      <c r="AZ16" s="98"/>
      <c r="BA16" s="98"/>
      <c r="BB16" s="98"/>
      <c r="BC16" s="98"/>
    </row>
    <row r="17" spans="2:55" x14ac:dyDescent="0.25">
      <c r="B17" s="85"/>
      <c r="C17" s="85"/>
      <c r="D17" s="85" t="s">
        <v>37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18"/>
      <c r="U17" s="118"/>
      <c r="V17" s="118"/>
      <c r="W17" s="118"/>
      <c r="X17" s="118"/>
      <c r="Y17" s="118"/>
      <c r="Z17" s="118"/>
      <c r="AA17" s="118"/>
      <c r="AB17" s="118"/>
      <c r="AC17" s="86" t="s">
        <v>39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</row>
    <row r="18" spans="2:55" ht="14.4" thickBot="1" x14ac:dyDescent="0.3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76"/>
      <c r="AY18" s="76"/>
      <c r="AZ18" s="76"/>
      <c r="BA18" s="76"/>
      <c r="BB18" s="76"/>
      <c r="BC18" s="76"/>
    </row>
    <row r="19" spans="2:55" ht="18.600000000000001" thickBot="1" x14ac:dyDescent="0.4">
      <c r="B19" s="115" t="s">
        <v>22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</row>
    <row r="20" spans="2:55" s="6" customFormat="1" ht="5.25" customHeight="1" thickBot="1" x14ac:dyDescent="0.3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</row>
    <row r="21" spans="2:55" ht="14.4" x14ac:dyDescent="0.3">
      <c r="B21" s="94" t="s">
        <v>42</v>
      </c>
      <c r="C21" s="95"/>
      <c r="D21" s="95"/>
      <c r="E21" s="112" t="s">
        <v>83</v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91" t="s">
        <v>28</v>
      </c>
      <c r="R21" s="91"/>
      <c r="S21" s="91"/>
      <c r="T21" s="91"/>
      <c r="U21" s="113">
        <v>301860</v>
      </c>
      <c r="V21" s="113"/>
      <c r="W21" s="113"/>
      <c r="X21" s="113"/>
      <c r="Y21" s="113"/>
      <c r="Z21" s="113"/>
      <c r="AA21" s="91" t="s">
        <v>41</v>
      </c>
      <c r="AB21" s="91"/>
      <c r="AC21" s="91"/>
      <c r="AD21" s="113" t="s">
        <v>86</v>
      </c>
      <c r="AE21" s="113"/>
      <c r="AF21" s="113"/>
      <c r="AG21" s="113"/>
      <c r="AH21" s="113"/>
      <c r="AI21" s="113"/>
      <c r="AJ21" s="113"/>
      <c r="AK21" s="113"/>
      <c r="AL21" s="113"/>
      <c r="AM21" s="95" t="s">
        <v>40</v>
      </c>
      <c r="AN21" s="95"/>
      <c r="AO21" s="95"/>
      <c r="AP21" s="113" t="s">
        <v>84</v>
      </c>
      <c r="AQ21" s="113"/>
      <c r="AR21" s="113"/>
      <c r="AS21" s="113"/>
      <c r="AT21" s="113"/>
      <c r="AU21" s="113"/>
      <c r="AV21" s="113"/>
      <c r="AW21" s="113"/>
      <c r="AX21" s="113"/>
      <c r="AY21" s="91" t="s">
        <v>55</v>
      </c>
      <c r="AZ21" s="91"/>
      <c r="BA21" s="91"/>
      <c r="BB21" s="113" t="s">
        <v>85</v>
      </c>
      <c r="BC21" s="114"/>
    </row>
    <row r="22" spans="2:55" ht="14.4" x14ac:dyDescent="0.3">
      <c r="B22" s="93" t="s">
        <v>47</v>
      </c>
      <c r="C22" s="74"/>
      <c r="D22" s="74"/>
      <c r="E22" s="74"/>
      <c r="F22" s="74"/>
      <c r="G22" s="74"/>
      <c r="H22" s="74"/>
      <c r="I22" s="50">
        <v>7</v>
      </c>
      <c r="J22" s="50"/>
      <c r="K22" s="96" t="s">
        <v>46</v>
      </c>
      <c r="L22" s="96"/>
      <c r="M22" s="6"/>
      <c r="N22" s="107" t="s">
        <v>99</v>
      </c>
      <c r="O22" s="107"/>
      <c r="P22" s="107"/>
      <c r="Q22" s="107"/>
      <c r="R22" s="97" t="s">
        <v>45</v>
      </c>
      <c r="S22" s="97"/>
      <c r="T22" s="97"/>
      <c r="U22" s="97"/>
      <c r="V22" s="50" t="s">
        <v>100</v>
      </c>
      <c r="W22" s="50"/>
      <c r="X22" s="50"/>
      <c r="Y22" s="50"/>
      <c r="Z22" s="50"/>
      <c r="AA22" s="75" t="s">
        <v>44</v>
      </c>
      <c r="AB22" s="75"/>
      <c r="AC22" s="75"/>
      <c r="AD22" s="75"/>
      <c r="AE22" s="75"/>
      <c r="AF22" s="75"/>
      <c r="AG22" s="75"/>
      <c r="AH22" s="75"/>
      <c r="AI22" s="50" t="s">
        <v>101</v>
      </c>
      <c r="AJ22" s="50"/>
      <c r="AK22" s="50"/>
      <c r="AL22" s="50"/>
      <c r="AM22" s="50"/>
      <c r="AN22" s="50"/>
      <c r="AO22" s="50"/>
      <c r="AP22" s="50"/>
      <c r="AQ22" s="50"/>
      <c r="AR22" s="50"/>
      <c r="AS22" s="76" t="s">
        <v>43</v>
      </c>
      <c r="AT22" s="76"/>
      <c r="AU22" s="76"/>
      <c r="AV22" s="76"/>
      <c r="AW22" s="98"/>
      <c r="AX22" s="98"/>
      <c r="AY22" s="98"/>
      <c r="AZ22" s="98"/>
      <c r="BA22" s="98"/>
      <c r="BB22" s="98"/>
      <c r="BC22" s="99"/>
    </row>
    <row r="23" spans="2:55" ht="2.25" customHeight="1" x14ac:dyDescent="0.25"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1"/>
    </row>
    <row r="24" spans="2:55" ht="16.5" customHeight="1" x14ac:dyDescent="0.25">
      <c r="B24" s="77" t="s">
        <v>26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63" t="s">
        <v>29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54" t="s">
        <v>62</v>
      </c>
      <c r="AK24" s="54"/>
      <c r="AL24" s="54"/>
      <c r="AM24" s="54"/>
      <c r="AN24" s="54"/>
      <c r="AO24" s="54"/>
      <c r="AP24" s="53" t="s">
        <v>8</v>
      </c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5"/>
    </row>
    <row r="25" spans="2:55" x14ac:dyDescent="0.25">
      <c r="B25" s="108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63">
        <v>1</v>
      </c>
      <c r="V25" s="63"/>
      <c r="W25" s="63"/>
      <c r="X25" s="63"/>
      <c r="Y25" s="63">
        <v>2</v>
      </c>
      <c r="Z25" s="63"/>
      <c r="AA25" s="63"/>
      <c r="AB25" s="63"/>
      <c r="AC25" s="63">
        <v>3</v>
      </c>
      <c r="AD25" s="63"/>
      <c r="AE25" s="63"/>
      <c r="AF25" s="63"/>
      <c r="AG25" s="63">
        <v>4</v>
      </c>
      <c r="AH25" s="63"/>
      <c r="AI25" s="63"/>
      <c r="AJ25" s="54"/>
      <c r="AK25" s="54"/>
      <c r="AL25" s="54"/>
      <c r="AM25" s="54"/>
      <c r="AN25" s="54"/>
      <c r="AO25" s="54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5"/>
    </row>
    <row r="26" spans="2:55" x14ac:dyDescent="0.25">
      <c r="B26" s="102" t="s">
        <v>1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4">
        <v>80</v>
      </c>
      <c r="V26" s="104"/>
      <c r="W26" s="104"/>
      <c r="X26" s="104"/>
      <c r="Y26" s="104">
        <v>81</v>
      </c>
      <c r="Z26" s="104"/>
      <c r="AA26" s="104"/>
      <c r="AB26" s="104"/>
      <c r="AC26" s="104">
        <v>82</v>
      </c>
      <c r="AD26" s="104"/>
      <c r="AE26" s="104"/>
      <c r="AF26" s="104"/>
      <c r="AG26" s="104">
        <v>83</v>
      </c>
      <c r="AH26" s="104"/>
      <c r="AI26" s="104"/>
      <c r="AJ26" s="104">
        <f>AVERAGE(AG26,AC26,Y26,U26)</f>
        <v>81.5</v>
      </c>
      <c r="AK26" s="104"/>
      <c r="AL26" s="104"/>
      <c r="AM26" s="104"/>
      <c r="AN26" s="104"/>
      <c r="AO26" s="104"/>
      <c r="AP26" s="100" t="s">
        <v>88</v>
      </c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1"/>
    </row>
    <row r="27" spans="2:55" x14ac:dyDescent="0.25">
      <c r="B27" s="102" t="s">
        <v>2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4">
        <v>82</v>
      </c>
      <c r="V27" s="104"/>
      <c r="W27" s="104"/>
      <c r="X27" s="104"/>
      <c r="Y27" s="104">
        <v>77</v>
      </c>
      <c r="Z27" s="104"/>
      <c r="AA27" s="104"/>
      <c r="AB27" s="104"/>
      <c r="AC27" s="104">
        <v>81</v>
      </c>
      <c r="AD27" s="104"/>
      <c r="AE27" s="104"/>
      <c r="AF27" s="104"/>
      <c r="AG27" s="104">
        <v>75</v>
      </c>
      <c r="AH27" s="104"/>
      <c r="AI27" s="104"/>
      <c r="AJ27" s="104">
        <f t="shared" ref="AJ27:AJ37" si="0">AVERAGE(U27,Y27,AC27,AG27)</f>
        <v>78.75</v>
      </c>
      <c r="AK27" s="104"/>
      <c r="AL27" s="104"/>
      <c r="AM27" s="104"/>
      <c r="AN27" s="104"/>
      <c r="AO27" s="104"/>
      <c r="AP27" s="100" t="s">
        <v>88</v>
      </c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1"/>
    </row>
    <row r="28" spans="2:55" x14ac:dyDescent="0.25">
      <c r="B28" s="102" t="s">
        <v>3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4">
        <v>75</v>
      </c>
      <c r="V28" s="104"/>
      <c r="W28" s="104"/>
      <c r="X28" s="104"/>
      <c r="Y28" s="104">
        <v>80</v>
      </c>
      <c r="Z28" s="104"/>
      <c r="AA28" s="104"/>
      <c r="AB28" s="104"/>
      <c r="AC28" s="104">
        <v>78</v>
      </c>
      <c r="AD28" s="104"/>
      <c r="AE28" s="104"/>
      <c r="AF28" s="104"/>
      <c r="AG28" s="104">
        <v>80</v>
      </c>
      <c r="AH28" s="104"/>
      <c r="AI28" s="104"/>
      <c r="AJ28" s="104">
        <f t="shared" si="0"/>
        <v>78.25</v>
      </c>
      <c r="AK28" s="104"/>
      <c r="AL28" s="104"/>
      <c r="AM28" s="104"/>
      <c r="AN28" s="104"/>
      <c r="AO28" s="104"/>
      <c r="AP28" s="100" t="s">
        <v>88</v>
      </c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1"/>
    </row>
    <row r="29" spans="2:55" x14ac:dyDescent="0.25">
      <c r="B29" s="102" t="s">
        <v>57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4">
        <v>81</v>
      </c>
      <c r="V29" s="104"/>
      <c r="W29" s="104"/>
      <c r="X29" s="104"/>
      <c r="Y29" s="104">
        <v>79</v>
      </c>
      <c r="Z29" s="104"/>
      <c r="AA29" s="104"/>
      <c r="AB29" s="104"/>
      <c r="AC29" s="104">
        <v>80</v>
      </c>
      <c r="AD29" s="104"/>
      <c r="AE29" s="104"/>
      <c r="AF29" s="104"/>
      <c r="AG29" s="104">
        <v>81</v>
      </c>
      <c r="AH29" s="104"/>
      <c r="AI29" s="104"/>
      <c r="AJ29" s="104">
        <f t="shared" si="0"/>
        <v>80.25</v>
      </c>
      <c r="AK29" s="104"/>
      <c r="AL29" s="104"/>
      <c r="AM29" s="104"/>
      <c r="AN29" s="104"/>
      <c r="AO29" s="104"/>
      <c r="AP29" s="100" t="s">
        <v>88</v>
      </c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1"/>
    </row>
    <row r="30" spans="2:55" x14ac:dyDescent="0.25">
      <c r="B30" s="102" t="s">
        <v>4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4">
        <v>81</v>
      </c>
      <c r="V30" s="104"/>
      <c r="W30" s="104"/>
      <c r="X30" s="104"/>
      <c r="Y30" s="104">
        <v>81</v>
      </c>
      <c r="Z30" s="104"/>
      <c r="AA30" s="104"/>
      <c r="AB30" s="104"/>
      <c r="AC30" s="104">
        <v>82</v>
      </c>
      <c r="AD30" s="104"/>
      <c r="AE30" s="104"/>
      <c r="AF30" s="104"/>
      <c r="AG30" s="104">
        <v>83</v>
      </c>
      <c r="AH30" s="104"/>
      <c r="AI30" s="104"/>
      <c r="AJ30" s="104">
        <f t="shared" si="0"/>
        <v>81.75</v>
      </c>
      <c r="AK30" s="104"/>
      <c r="AL30" s="104"/>
      <c r="AM30" s="104"/>
      <c r="AN30" s="104"/>
      <c r="AO30" s="104"/>
      <c r="AP30" s="100" t="s">
        <v>88</v>
      </c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1"/>
    </row>
    <row r="31" spans="2:55" x14ac:dyDescent="0.25">
      <c r="B31" s="102" t="s">
        <v>5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4">
        <v>80</v>
      </c>
      <c r="V31" s="104"/>
      <c r="W31" s="104"/>
      <c r="X31" s="104"/>
      <c r="Y31" s="104">
        <v>83</v>
      </c>
      <c r="Z31" s="104"/>
      <c r="AA31" s="104"/>
      <c r="AB31" s="104"/>
      <c r="AC31" s="104">
        <v>86</v>
      </c>
      <c r="AD31" s="104"/>
      <c r="AE31" s="104"/>
      <c r="AF31" s="104"/>
      <c r="AG31" s="104">
        <v>89</v>
      </c>
      <c r="AH31" s="104"/>
      <c r="AI31" s="104"/>
      <c r="AJ31" s="104">
        <f t="shared" si="0"/>
        <v>84.5</v>
      </c>
      <c r="AK31" s="104"/>
      <c r="AL31" s="104"/>
      <c r="AM31" s="104"/>
      <c r="AN31" s="104"/>
      <c r="AO31" s="104"/>
      <c r="AP31" s="100" t="s">
        <v>88</v>
      </c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1"/>
    </row>
    <row r="32" spans="2:55" x14ac:dyDescent="0.25">
      <c r="B32" s="102" t="s">
        <v>6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4">
        <v>82</v>
      </c>
      <c r="V32" s="104"/>
      <c r="W32" s="104"/>
      <c r="X32" s="104"/>
      <c r="Y32" s="104">
        <v>78</v>
      </c>
      <c r="Z32" s="104"/>
      <c r="AA32" s="104"/>
      <c r="AB32" s="104"/>
      <c r="AC32" s="104">
        <v>81</v>
      </c>
      <c r="AD32" s="104"/>
      <c r="AE32" s="104"/>
      <c r="AF32" s="104"/>
      <c r="AG32" s="104">
        <v>80</v>
      </c>
      <c r="AH32" s="104"/>
      <c r="AI32" s="104"/>
      <c r="AJ32" s="104">
        <f t="shared" si="0"/>
        <v>80.25</v>
      </c>
      <c r="AK32" s="104"/>
      <c r="AL32" s="104"/>
      <c r="AM32" s="104"/>
      <c r="AN32" s="104"/>
      <c r="AO32" s="104"/>
      <c r="AP32" s="100" t="s">
        <v>88</v>
      </c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1"/>
    </row>
    <row r="33" spans="2:56" x14ac:dyDescent="0.25">
      <c r="B33" s="102" t="s">
        <v>7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4">
        <v>78</v>
      </c>
      <c r="V33" s="104"/>
      <c r="W33" s="104"/>
      <c r="X33" s="104"/>
      <c r="Y33" s="104">
        <v>77</v>
      </c>
      <c r="Z33" s="104"/>
      <c r="AA33" s="104"/>
      <c r="AB33" s="104"/>
      <c r="AC33" s="104">
        <v>78</v>
      </c>
      <c r="AD33" s="104"/>
      <c r="AE33" s="104"/>
      <c r="AF33" s="104"/>
      <c r="AG33" s="104">
        <v>80</v>
      </c>
      <c r="AH33" s="104"/>
      <c r="AI33" s="104"/>
      <c r="AJ33" s="104">
        <f>AVERAGE(U33,Y33,AC33,AG33)</f>
        <v>78.25</v>
      </c>
      <c r="AK33" s="104"/>
      <c r="AL33" s="104"/>
      <c r="AM33" s="104"/>
      <c r="AN33" s="104"/>
      <c r="AO33" s="104"/>
      <c r="AP33" s="100" t="s">
        <v>88</v>
      </c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1"/>
    </row>
    <row r="34" spans="2:56" x14ac:dyDescent="0.25">
      <c r="B34" s="105" t="s">
        <v>58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4">
        <v>79</v>
      </c>
      <c r="V34" s="104"/>
      <c r="W34" s="104"/>
      <c r="X34" s="104"/>
      <c r="Y34" s="104">
        <v>80</v>
      </c>
      <c r="Z34" s="104"/>
      <c r="AA34" s="104"/>
      <c r="AB34" s="104"/>
      <c r="AC34" s="104">
        <v>79</v>
      </c>
      <c r="AD34" s="104"/>
      <c r="AE34" s="104"/>
      <c r="AF34" s="104"/>
      <c r="AG34" s="104">
        <v>76</v>
      </c>
      <c r="AH34" s="104"/>
      <c r="AI34" s="104"/>
      <c r="AJ34" s="104">
        <f t="shared" si="0"/>
        <v>78.5</v>
      </c>
      <c r="AK34" s="104"/>
      <c r="AL34" s="104"/>
      <c r="AM34" s="104"/>
      <c r="AN34" s="104"/>
      <c r="AO34" s="104"/>
      <c r="AP34" s="100" t="s">
        <v>88</v>
      </c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1"/>
    </row>
    <row r="35" spans="2:56" x14ac:dyDescent="0.25">
      <c r="B35" s="105" t="s">
        <v>59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4">
        <v>79</v>
      </c>
      <c r="V35" s="104"/>
      <c r="W35" s="104"/>
      <c r="X35" s="104"/>
      <c r="Y35" s="104">
        <v>73</v>
      </c>
      <c r="Z35" s="104"/>
      <c r="AA35" s="104"/>
      <c r="AB35" s="104"/>
      <c r="AC35" s="104">
        <v>72</v>
      </c>
      <c r="AD35" s="104"/>
      <c r="AE35" s="104"/>
      <c r="AF35" s="104"/>
      <c r="AG35" s="104">
        <v>79</v>
      </c>
      <c r="AH35" s="104"/>
      <c r="AI35" s="104"/>
      <c r="AJ35" s="104">
        <f t="shared" si="0"/>
        <v>75.75</v>
      </c>
      <c r="AK35" s="104"/>
      <c r="AL35" s="104"/>
      <c r="AM35" s="104"/>
      <c r="AN35" s="104"/>
      <c r="AO35" s="104"/>
      <c r="AP35" s="100" t="s">
        <v>88</v>
      </c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1"/>
    </row>
    <row r="36" spans="2:56" x14ac:dyDescent="0.25">
      <c r="B36" s="105" t="s">
        <v>60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4">
        <v>78</v>
      </c>
      <c r="V36" s="104"/>
      <c r="W36" s="104"/>
      <c r="X36" s="104"/>
      <c r="Y36" s="104">
        <v>77</v>
      </c>
      <c r="Z36" s="104"/>
      <c r="AA36" s="104"/>
      <c r="AB36" s="104"/>
      <c r="AC36" s="104">
        <v>82</v>
      </c>
      <c r="AD36" s="104"/>
      <c r="AE36" s="104"/>
      <c r="AF36" s="104"/>
      <c r="AG36" s="104">
        <v>82</v>
      </c>
      <c r="AH36" s="104"/>
      <c r="AI36" s="104"/>
      <c r="AJ36" s="104">
        <f t="shared" si="0"/>
        <v>79.75</v>
      </c>
      <c r="AK36" s="104"/>
      <c r="AL36" s="104"/>
      <c r="AM36" s="104"/>
      <c r="AN36" s="104"/>
      <c r="AO36" s="104"/>
      <c r="AP36" s="100" t="s">
        <v>88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6" x14ac:dyDescent="0.25">
      <c r="B37" s="105" t="s">
        <v>61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4">
        <v>76</v>
      </c>
      <c r="V37" s="104"/>
      <c r="W37" s="104"/>
      <c r="X37" s="104"/>
      <c r="Y37" s="104">
        <v>78</v>
      </c>
      <c r="Z37" s="104"/>
      <c r="AA37" s="104"/>
      <c r="AB37" s="104"/>
      <c r="AC37" s="104">
        <v>78</v>
      </c>
      <c r="AD37" s="104"/>
      <c r="AE37" s="104"/>
      <c r="AF37" s="104"/>
      <c r="AG37" s="104">
        <v>82</v>
      </c>
      <c r="AH37" s="104"/>
      <c r="AI37" s="104"/>
      <c r="AJ37" s="104">
        <f t="shared" si="0"/>
        <v>78.5</v>
      </c>
      <c r="AK37" s="104"/>
      <c r="AL37" s="104"/>
      <c r="AM37" s="104"/>
      <c r="AN37" s="104"/>
      <c r="AO37" s="104"/>
      <c r="AP37" s="100" t="s">
        <v>88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6" x14ac:dyDescent="0.25">
      <c r="B38" s="102" t="s">
        <v>90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6" x14ac:dyDescent="0.25"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6" x14ac:dyDescent="0.25"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1" t="s">
        <v>9</v>
      </c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2">
        <f>AVERAGE(AJ26:AO33)</f>
        <v>80.4375</v>
      </c>
      <c r="AK40" s="62"/>
      <c r="AL40" s="62"/>
      <c r="AM40" s="62"/>
      <c r="AN40" s="62"/>
      <c r="AO40" s="62"/>
      <c r="AP40" s="57" t="s">
        <v>89</v>
      </c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8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67" t="s">
        <v>15</v>
      </c>
      <c r="C42" s="68"/>
      <c r="D42" s="68"/>
      <c r="E42" s="68"/>
      <c r="F42" s="68"/>
      <c r="G42" s="68"/>
      <c r="H42" s="68"/>
      <c r="I42" s="68"/>
      <c r="J42" s="68"/>
      <c r="K42" s="68"/>
      <c r="L42" s="72" t="s">
        <v>64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65"/>
      <c r="Y42" s="65"/>
      <c r="Z42" s="65"/>
      <c r="AA42" s="65"/>
      <c r="AB42" s="65"/>
      <c r="AC42" s="65"/>
      <c r="AD42" s="65"/>
      <c r="AE42" s="65"/>
      <c r="AF42" s="65"/>
      <c r="AG42" s="72" t="s">
        <v>66</v>
      </c>
      <c r="AH42" s="72"/>
      <c r="AI42" s="72"/>
      <c r="AJ42" s="72"/>
      <c r="AK42" s="72"/>
      <c r="AL42" s="65"/>
      <c r="AM42" s="65"/>
      <c r="AN42" s="65"/>
      <c r="AO42" s="65"/>
      <c r="AP42" s="65"/>
      <c r="AQ42" s="65"/>
      <c r="AR42" s="65"/>
      <c r="AS42" s="65"/>
      <c r="AT42" s="65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1"/>
      <c r="BD43" s="1" t="s">
        <v>65</v>
      </c>
    </row>
    <row r="44" spans="2:56" ht="16.5" customHeight="1" x14ac:dyDescent="0.25">
      <c r="B44" s="77" t="s">
        <v>27</v>
      </c>
      <c r="C44" s="53"/>
      <c r="D44" s="53"/>
      <c r="E44" s="53"/>
      <c r="F44" s="53"/>
      <c r="G44" s="53"/>
      <c r="H44" s="53"/>
      <c r="I44" s="53"/>
      <c r="J44" s="53"/>
      <c r="K44" s="53"/>
      <c r="L44" s="53" t="s">
        <v>10</v>
      </c>
      <c r="M44" s="53"/>
      <c r="N44" s="53"/>
      <c r="O44" s="53"/>
      <c r="P44" s="53"/>
      <c r="Q44" s="53"/>
      <c r="R44" s="53"/>
      <c r="S44" s="53"/>
      <c r="T44" s="53"/>
      <c r="U44" s="53" t="s">
        <v>11</v>
      </c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4" t="s">
        <v>63</v>
      </c>
      <c r="AI44" s="54"/>
      <c r="AJ44" s="54"/>
      <c r="AK44" s="54"/>
      <c r="AL44" s="54"/>
      <c r="AM44" s="54"/>
      <c r="AN44" s="54"/>
      <c r="AO44" s="54"/>
      <c r="AP44" s="53" t="s">
        <v>12</v>
      </c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5"/>
    </row>
    <row r="45" spans="2:56" x14ac:dyDescent="0.25">
      <c r="B45" s="7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5"/>
    </row>
    <row r="46" spans="2:56" x14ac:dyDescent="0.25"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8"/>
    </row>
    <row r="47" spans="2:56" ht="14.4" thickBot="1" x14ac:dyDescent="0.3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1"/>
    </row>
    <row r="48" spans="2:56" ht="10.5" customHeight="1" thickBot="1" x14ac:dyDescent="0.3"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</row>
    <row r="49" spans="2:55" ht="14.4" x14ac:dyDescent="0.3">
      <c r="B49" s="94" t="s">
        <v>42</v>
      </c>
      <c r="C49" s="95"/>
      <c r="D49" s="95"/>
      <c r="E49" s="112" t="s">
        <v>83</v>
      </c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91" t="s">
        <v>28</v>
      </c>
      <c r="R49" s="91"/>
      <c r="S49" s="91"/>
      <c r="T49" s="91"/>
      <c r="U49" s="113">
        <v>301860</v>
      </c>
      <c r="V49" s="113"/>
      <c r="W49" s="113"/>
      <c r="X49" s="113"/>
      <c r="Y49" s="113"/>
      <c r="Z49" s="113"/>
      <c r="AA49" s="91" t="s">
        <v>41</v>
      </c>
      <c r="AB49" s="91"/>
      <c r="AC49" s="91"/>
      <c r="AD49" s="113" t="s">
        <v>86</v>
      </c>
      <c r="AE49" s="113"/>
      <c r="AF49" s="113"/>
      <c r="AG49" s="113"/>
      <c r="AH49" s="113"/>
      <c r="AI49" s="113"/>
      <c r="AJ49" s="113"/>
      <c r="AK49" s="113"/>
      <c r="AL49" s="113"/>
      <c r="AM49" s="95" t="s">
        <v>40</v>
      </c>
      <c r="AN49" s="95"/>
      <c r="AO49" s="95"/>
      <c r="AP49" s="113" t="s">
        <v>84</v>
      </c>
      <c r="AQ49" s="113"/>
      <c r="AR49" s="113"/>
      <c r="AS49" s="113"/>
      <c r="AT49" s="113"/>
      <c r="AU49" s="113"/>
      <c r="AV49" s="113"/>
      <c r="AW49" s="113"/>
      <c r="AX49" s="113"/>
      <c r="AY49" s="91" t="s">
        <v>55</v>
      </c>
      <c r="AZ49" s="91"/>
      <c r="BA49" s="91"/>
      <c r="BB49" s="113" t="s">
        <v>85</v>
      </c>
      <c r="BC49" s="114"/>
    </row>
    <row r="50" spans="2:55" ht="14.4" x14ac:dyDescent="0.3">
      <c r="B50" s="93" t="s">
        <v>47</v>
      </c>
      <c r="C50" s="74"/>
      <c r="D50" s="74"/>
      <c r="E50" s="74"/>
      <c r="F50" s="74"/>
      <c r="G50" s="74"/>
      <c r="H50" s="74"/>
      <c r="I50" s="50">
        <v>8</v>
      </c>
      <c r="J50" s="50"/>
      <c r="K50" s="96" t="s">
        <v>46</v>
      </c>
      <c r="L50" s="96"/>
      <c r="M50" s="96"/>
      <c r="N50" s="107" t="s">
        <v>102</v>
      </c>
      <c r="O50" s="107"/>
      <c r="P50" s="107"/>
      <c r="Q50" s="107"/>
      <c r="R50" s="97" t="s">
        <v>45</v>
      </c>
      <c r="S50" s="97"/>
      <c r="T50" s="97"/>
      <c r="U50" s="97"/>
      <c r="V50" s="50" t="s">
        <v>103</v>
      </c>
      <c r="W50" s="50"/>
      <c r="X50" s="50"/>
      <c r="Y50" s="50"/>
      <c r="Z50" s="50"/>
      <c r="AA50" s="75" t="s">
        <v>44</v>
      </c>
      <c r="AB50" s="75"/>
      <c r="AC50" s="75"/>
      <c r="AD50" s="75"/>
      <c r="AE50" s="75"/>
      <c r="AF50" s="75"/>
      <c r="AG50" s="75"/>
      <c r="AH50" s="75"/>
      <c r="AI50" s="50" t="s">
        <v>104</v>
      </c>
      <c r="AJ50" s="50"/>
      <c r="AK50" s="50"/>
      <c r="AL50" s="50"/>
      <c r="AM50" s="50"/>
      <c r="AN50" s="50"/>
      <c r="AO50" s="50"/>
      <c r="AP50" s="50"/>
      <c r="AQ50" s="50"/>
      <c r="AR50" s="50"/>
      <c r="AS50" s="76" t="s">
        <v>43</v>
      </c>
      <c r="AT50" s="76"/>
      <c r="AU50" s="76"/>
      <c r="AV50" s="76"/>
      <c r="AW50" s="98"/>
      <c r="AX50" s="98"/>
      <c r="AY50" s="98"/>
      <c r="AZ50" s="98"/>
      <c r="BA50" s="98"/>
      <c r="BB50" s="98"/>
      <c r="BC50" s="99"/>
    </row>
    <row r="51" spans="2:55" ht="2.25" customHeight="1" x14ac:dyDescent="0.25">
      <c r="B51" s="49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1"/>
    </row>
    <row r="52" spans="2:55" ht="16.5" customHeight="1" x14ac:dyDescent="0.25">
      <c r="B52" s="77" t="s">
        <v>26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63" t="s">
        <v>29</v>
      </c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54" t="s">
        <v>62</v>
      </c>
      <c r="AK52" s="54"/>
      <c r="AL52" s="54"/>
      <c r="AM52" s="54"/>
      <c r="AN52" s="54"/>
      <c r="AO52" s="54"/>
      <c r="AP52" s="53" t="s">
        <v>8</v>
      </c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5"/>
    </row>
    <row r="53" spans="2:55" x14ac:dyDescent="0.25">
      <c r="B53" s="108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63">
        <v>1</v>
      </c>
      <c r="V53" s="63"/>
      <c r="W53" s="63"/>
      <c r="X53" s="63"/>
      <c r="Y53" s="63">
        <v>2</v>
      </c>
      <c r="Z53" s="63"/>
      <c r="AA53" s="63"/>
      <c r="AB53" s="63"/>
      <c r="AC53" s="63">
        <v>3</v>
      </c>
      <c r="AD53" s="63"/>
      <c r="AE53" s="63"/>
      <c r="AF53" s="63"/>
      <c r="AG53" s="63">
        <v>4</v>
      </c>
      <c r="AH53" s="63"/>
      <c r="AI53" s="63"/>
      <c r="AJ53" s="54"/>
      <c r="AK53" s="54"/>
      <c r="AL53" s="54"/>
      <c r="AM53" s="54"/>
      <c r="AN53" s="54"/>
      <c r="AO53" s="54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5"/>
    </row>
    <row r="54" spans="2:55" x14ac:dyDescent="0.25">
      <c r="B54" s="102" t="s">
        <v>1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0">
        <v>75</v>
      </c>
      <c r="V54" s="100"/>
      <c r="W54" s="100"/>
      <c r="X54" s="100"/>
      <c r="Y54" s="100">
        <v>81</v>
      </c>
      <c r="Z54" s="100"/>
      <c r="AA54" s="100"/>
      <c r="AB54" s="100"/>
      <c r="AC54" s="100">
        <v>80</v>
      </c>
      <c r="AD54" s="100"/>
      <c r="AE54" s="100"/>
      <c r="AF54" s="100"/>
      <c r="AG54" s="100">
        <v>80</v>
      </c>
      <c r="AH54" s="100"/>
      <c r="AI54" s="100"/>
      <c r="AJ54" s="104">
        <f>AVERAGE(AG54,AC54,Y54,U54)</f>
        <v>79</v>
      </c>
      <c r="AK54" s="104"/>
      <c r="AL54" s="104"/>
      <c r="AM54" s="104"/>
      <c r="AN54" s="104"/>
      <c r="AO54" s="104"/>
      <c r="AP54" s="100" t="s">
        <v>88</v>
      </c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1"/>
    </row>
    <row r="55" spans="2:55" x14ac:dyDescent="0.25">
      <c r="B55" s="102" t="s">
        <v>2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0">
        <v>77</v>
      </c>
      <c r="V55" s="100"/>
      <c r="W55" s="100"/>
      <c r="X55" s="100"/>
      <c r="Y55" s="100">
        <v>77</v>
      </c>
      <c r="Z55" s="100"/>
      <c r="AA55" s="100"/>
      <c r="AB55" s="100"/>
      <c r="AC55" s="100">
        <v>76</v>
      </c>
      <c r="AD55" s="100"/>
      <c r="AE55" s="100"/>
      <c r="AF55" s="100"/>
      <c r="AG55" s="100">
        <v>77</v>
      </c>
      <c r="AH55" s="100"/>
      <c r="AI55" s="100"/>
      <c r="AJ55" s="104">
        <f t="shared" ref="AJ55:AJ65" si="1">AVERAGE(AG55,AC55,Y55,U55)</f>
        <v>76.75</v>
      </c>
      <c r="AK55" s="104"/>
      <c r="AL55" s="104"/>
      <c r="AM55" s="104"/>
      <c r="AN55" s="104"/>
      <c r="AO55" s="104"/>
      <c r="AP55" s="100" t="s">
        <v>88</v>
      </c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1"/>
    </row>
    <row r="56" spans="2:55" x14ac:dyDescent="0.25">
      <c r="B56" s="102" t="s">
        <v>3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0">
        <v>75</v>
      </c>
      <c r="V56" s="100"/>
      <c r="W56" s="100"/>
      <c r="X56" s="100"/>
      <c r="Y56" s="100">
        <v>75</v>
      </c>
      <c r="Z56" s="100"/>
      <c r="AA56" s="100"/>
      <c r="AB56" s="100"/>
      <c r="AC56" s="100">
        <v>77</v>
      </c>
      <c r="AD56" s="100"/>
      <c r="AE56" s="100"/>
      <c r="AF56" s="100"/>
      <c r="AG56" s="100">
        <v>78</v>
      </c>
      <c r="AH56" s="100"/>
      <c r="AI56" s="100"/>
      <c r="AJ56" s="104">
        <f t="shared" si="1"/>
        <v>76.25</v>
      </c>
      <c r="AK56" s="104"/>
      <c r="AL56" s="104"/>
      <c r="AM56" s="104"/>
      <c r="AN56" s="104"/>
      <c r="AO56" s="104"/>
      <c r="AP56" s="100" t="s">
        <v>88</v>
      </c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1"/>
    </row>
    <row r="57" spans="2:55" x14ac:dyDescent="0.25">
      <c r="B57" s="102" t="s">
        <v>57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0">
        <v>77</v>
      </c>
      <c r="V57" s="100"/>
      <c r="W57" s="100"/>
      <c r="X57" s="100"/>
      <c r="Y57" s="100">
        <v>76</v>
      </c>
      <c r="Z57" s="100"/>
      <c r="AA57" s="100"/>
      <c r="AB57" s="100"/>
      <c r="AC57" s="100">
        <v>83</v>
      </c>
      <c r="AD57" s="100"/>
      <c r="AE57" s="100"/>
      <c r="AF57" s="100"/>
      <c r="AG57" s="100">
        <v>78</v>
      </c>
      <c r="AH57" s="100"/>
      <c r="AI57" s="100"/>
      <c r="AJ57" s="104">
        <f t="shared" si="1"/>
        <v>78.5</v>
      </c>
      <c r="AK57" s="104"/>
      <c r="AL57" s="104"/>
      <c r="AM57" s="104"/>
      <c r="AN57" s="104"/>
      <c r="AO57" s="104"/>
      <c r="AP57" s="100" t="s">
        <v>88</v>
      </c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1"/>
    </row>
    <row r="58" spans="2:55" x14ac:dyDescent="0.25">
      <c r="B58" s="102" t="s">
        <v>4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0">
        <v>76</v>
      </c>
      <c r="V58" s="100"/>
      <c r="W58" s="100"/>
      <c r="X58" s="100"/>
      <c r="Y58" s="100">
        <v>75</v>
      </c>
      <c r="Z58" s="100"/>
      <c r="AA58" s="100"/>
      <c r="AB58" s="100"/>
      <c r="AC58" s="100">
        <v>77</v>
      </c>
      <c r="AD58" s="100"/>
      <c r="AE58" s="100"/>
      <c r="AF58" s="100"/>
      <c r="AG58" s="100">
        <v>78</v>
      </c>
      <c r="AH58" s="100"/>
      <c r="AI58" s="100"/>
      <c r="AJ58" s="104">
        <f t="shared" si="1"/>
        <v>76.5</v>
      </c>
      <c r="AK58" s="104"/>
      <c r="AL58" s="104"/>
      <c r="AM58" s="104"/>
      <c r="AN58" s="104"/>
      <c r="AO58" s="104"/>
      <c r="AP58" s="100" t="s">
        <v>88</v>
      </c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1"/>
    </row>
    <row r="59" spans="2:55" x14ac:dyDescent="0.25">
      <c r="B59" s="102" t="s">
        <v>5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0">
        <v>80</v>
      </c>
      <c r="V59" s="100"/>
      <c r="W59" s="100"/>
      <c r="X59" s="100"/>
      <c r="Y59" s="100">
        <v>78</v>
      </c>
      <c r="Z59" s="100"/>
      <c r="AA59" s="100"/>
      <c r="AB59" s="100"/>
      <c r="AC59" s="100">
        <v>81</v>
      </c>
      <c r="AD59" s="100"/>
      <c r="AE59" s="100"/>
      <c r="AF59" s="100"/>
      <c r="AG59" s="100">
        <v>83</v>
      </c>
      <c r="AH59" s="100"/>
      <c r="AI59" s="100"/>
      <c r="AJ59" s="104">
        <f t="shared" ref="AJ59:AJ60" si="2">AVERAGE(AG59,AC59,Y59,U59)</f>
        <v>80.5</v>
      </c>
      <c r="AK59" s="104"/>
      <c r="AL59" s="104"/>
      <c r="AM59" s="104"/>
      <c r="AN59" s="104"/>
      <c r="AO59" s="104"/>
      <c r="AP59" s="100" t="s">
        <v>88</v>
      </c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1"/>
    </row>
    <row r="60" spans="2:55" x14ac:dyDescent="0.25">
      <c r="B60" s="102" t="s">
        <v>6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0">
        <v>76</v>
      </c>
      <c r="V60" s="100"/>
      <c r="W60" s="100"/>
      <c r="X60" s="100"/>
      <c r="Y60" s="100">
        <v>80</v>
      </c>
      <c r="Z60" s="100"/>
      <c r="AA60" s="100"/>
      <c r="AB60" s="100"/>
      <c r="AC60" s="100">
        <v>82</v>
      </c>
      <c r="AD60" s="100"/>
      <c r="AE60" s="100"/>
      <c r="AF60" s="100"/>
      <c r="AG60" s="100">
        <v>85</v>
      </c>
      <c r="AH60" s="100"/>
      <c r="AI60" s="100"/>
      <c r="AJ60" s="104">
        <f t="shared" si="2"/>
        <v>80.75</v>
      </c>
      <c r="AK60" s="104"/>
      <c r="AL60" s="104"/>
      <c r="AM60" s="104"/>
      <c r="AN60" s="104"/>
      <c r="AO60" s="104"/>
      <c r="AP60" s="100" t="s">
        <v>88</v>
      </c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1"/>
    </row>
    <row r="61" spans="2:55" x14ac:dyDescent="0.25">
      <c r="B61" s="102" t="s">
        <v>7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v>76</v>
      </c>
      <c r="V61" s="104"/>
      <c r="W61" s="104"/>
      <c r="X61" s="104"/>
      <c r="Y61" s="104">
        <v>76</v>
      </c>
      <c r="Z61" s="104"/>
      <c r="AA61" s="104"/>
      <c r="AB61" s="104"/>
      <c r="AC61" s="104">
        <v>80</v>
      </c>
      <c r="AD61" s="104"/>
      <c r="AE61" s="104"/>
      <c r="AF61" s="104"/>
      <c r="AG61" s="104">
        <v>83</v>
      </c>
      <c r="AH61" s="104"/>
      <c r="AI61" s="104"/>
      <c r="AJ61" s="104">
        <f t="shared" si="1"/>
        <v>78.75</v>
      </c>
      <c r="AK61" s="104"/>
      <c r="AL61" s="104"/>
      <c r="AM61" s="104"/>
      <c r="AN61" s="104"/>
      <c r="AO61" s="104"/>
      <c r="AP61" s="100" t="s">
        <v>88</v>
      </c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1"/>
    </row>
    <row r="62" spans="2:55" x14ac:dyDescent="0.25">
      <c r="B62" s="105" t="s">
        <v>58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0">
        <v>75</v>
      </c>
      <c r="V62" s="100"/>
      <c r="W62" s="100"/>
      <c r="X62" s="100"/>
      <c r="Y62" s="100">
        <v>75</v>
      </c>
      <c r="Z62" s="100"/>
      <c r="AA62" s="100"/>
      <c r="AB62" s="100"/>
      <c r="AC62" s="100">
        <v>80</v>
      </c>
      <c r="AD62" s="100"/>
      <c r="AE62" s="100"/>
      <c r="AF62" s="100"/>
      <c r="AG62" s="100">
        <v>83</v>
      </c>
      <c r="AH62" s="100"/>
      <c r="AI62" s="100"/>
      <c r="AJ62" s="104">
        <f t="shared" si="1"/>
        <v>78.25</v>
      </c>
      <c r="AK62" s="104"/>
      <c r="AL62" s="104"/>
      <c r="AM62" s="104"/>
      <c r="AN62" s="104"/>
      <c r="AO62" s="104"/>
      <c r="AP62" s="100" t="s">
        <v>88</v>
      </c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1"/>
    </row>
    <row r="63" spans="2:55" x14ac:dyDescent="0.25">
      <c r="B63" s="105" t="s">
        <v>59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0">
        <v>78</v>
      </c>
      <c r="V63" s="100"/>
      <c r="W63" s="100"/>
      <c r="X63" s="100"/>
      <c r="Y63" s="100">
        <v>75</v>
      </c>
      <c r="Z63" s="100"/>
      <c r="AA63" s="100"/>
      <c r="AB63" s="100"/>
      <c r="AC63" s="100">
        <v>81</v>
      </c>
      <c r="AD63" s="100"/>
      <c r="AE63" s="100"/>
      <c r="AF63" s="100"/>
      <c r="AG63" s="100">
        <v>87</v>
      </c>
      <c r="AH63" s="100"/>
      <c r="AI63" s="100"/>
      <c r="AJ63" s="104">
        <f t="shared" si="1"/>
        <v>80.25</v>
      </c>
      <c r="AK63" s="104"/>
      <c r="AL63" s="104"/>
      <c r="AM63" s="104"/>
      <c r="AN63" s="104"/>
      <c r="AO63" s="104"/>
      <c r="AP63" s="100" t="s">
        <v>88</v>
      </c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1"/>
    </row>
    <row r="64" spans="2:55" x14ac:dyDescent="0.25">
      <c r="B64" s="105" t="s">
        <v>60</v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0">
        <v>76</v>
      </c>
      <c r="V64" s="100"/>
      <c r="W64" s="100"/>
      <c r="X64" s="100"/>
      <c r="Y64" s="100">
        <v>78</v>
      </c>
      <c r="Z64" s="100"/>
      <c r="AA64" s="100"/>
      <c r="AB64" s="100"/>
      <c r="AC64" s="100">
        <v>79</v>
      </c>
      <c r="AD64" s="100"/>
      <c r="AE64" s="100"/>
      <c r="AF64" s="100"/>
      <c r="AG64" s="100">
        <v>82</v>
      </c>
      <c r="AH64" s="100"/>
      <c r="AI64" s="100"/>
      <c r="AJ64" s="104">
        <f t="shared" si="1"/>
        <v>78.75</v>
      </c>
      <c r="AK64" s="104"/>
      <c r="AL64" s="104"/>
      <c r="AM64" s="104"/>
      <c r="AN64" s="104"/>
      <c r="AO64" s="104"/>
      <c r="AP64" s="100" t="s">
        <v>88</v>
      </c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1"/>
    </row>
    <row r="65" spans="1:56" x14ac:dyDescent="0.25">
      <c r="B65" s="105" t="s">
        <v>61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0">
        <v>75</v>
      </c>
      <c r="V65" s="100"/>
      <c r="W65" s="100"/>
      <c r="X65" s="100"/>
      <c r="Y65" s="100">
        <v>75</v>
      </c>
      <c r="Z65" s="100"/>
      <c r="AA65" s="100"/>
      <c r="AB65" s="100"/>
      <c r="AC65" s="100">
        <v>78</v>
      </c>
      <c r="AD65" s="100"/>
      <c r="AE65" s="100"/>
      <c r="AF65" s="100"/>
      <c r="AG65" s="100">
        <v>78</v>
      </c>
      <c r="AH65" s="100"/>
      <c r="AI65" s="100"/>
      <c r="AJ65" s="104">
        <f t="shared" si="1"/>
        <v>76.5</v>
      </c>
      <c r="AK65" s="104"/>
      <c r="AL65" s="104"/>
      <c r="AM65" s="104"/>
      <c r="AN65" s="104"/>
      <c r="AO65" s="104"/>
      <c r="AP65" s="100" t="s">
        <v>88</v>
      </c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1"/>
    </row>
    <row r="66" spans="1:56" x14ac:dyDescent="0.25">
      <c r="B66" s="102" t="s">
        <v>90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4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1"/>
    </row>
    <row r="67" spans="1:56" x14ac:dyDescent="0.25"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1"/>
    </row>
    <row r="68" spans="1:56" x14ac:dyDescent="0.25"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1" t="s">
        <v>9</v>
      </c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2">
        <v>79</v>
      </c>
      <c r="AK68" s="63"/>
      <c r="AL68" s="63"/>
      <c r="AM68" s="63"/>
      <c r="AN68" s="63"/>
      <c r="AO68" s="63"/>
      <c r="AP68" s="64" t="s">
        <v>89</v>
      </c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6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67" t="s">
        <v>15</v>
      </c>
      <c r="C70" s="68"/>
      <c r="D70" s="68"/>
      <c r="E70" s="68"/>
      <c r="F70" s="68"/>
      <c r="G70" s="68"/>
      <c r="H70" s="68"/>
      <c r="I70" s="68"/>
      <c r="J70" s="68"/>
      <c r="K70" s="68"/>
      <c r="L70" s="72" t="s">
        <v>64</v>
      </c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65"/>
      <c r="Y70" s="65"/>
      <c r="Z70" s="65"/>
      <c r="AA70" s="65"/>
      <c r="AB70" s="65"/>
      <c r="AC70" s="65"/>
      <c r="AD70" s="65"/>
      <c r="AE70" s="65"/>
      <c r="AF70" s="65"/>
      <c r="AG70" s="72" t="s">
        <v>66</v>
      </c>
      <c r="AH70" s="72"/>
      <c r="AI70" s="72"/>
      <c r="AJ70" s="72"/>
      <c r="AK70" s="72"/>
      <c r="AL70" s="65"/>
      <c r="AM70" s="65"/>
      <c r="AN70" s="65"/>
      <c r="AO70" s="65"/>
      <c r="AP70" s="65"/>
      <c r="AQ70" s="65"/>
      <c r="AR70" s="65"/>
      <c r="AS70" s="65"/>
      <c r="AT70" s="65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77" t="s">
        <v>27</v>
      </c>
      <c r="C72" s="53"/>
      <c r="D72" s="53"/>
      <c r="E72" s="53"/>
      <c r="F72" s="53"/>
      <c r="G72" s="53"/>
      <c r="H72" s="53"/>
      <c r="I72" s="53"/>
      <c r="J72" s="53"/>
      <c r="K72" s="53"/>
      <c r="L72" s="53" t="s">
        <v>10</v>
      </c>
      <c r="M72" s="53"/>
      <c r="N72" s="53"/>
      <c r="O72" s="53"/>
      <c r="P72" s="53"/>
      <c r="Q72" s="53"/>
      <c r="R72" s="53"/>
      <c r="S72" s="53"/>
      <c r="T72" s="53"/>
      <c r="U72" s="53" t="s">
        <v>11</v>
      </c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4" t="s">
        <v>63</v>
      </c>
      <c r="AI72" s="54"/>
      <c r="AJ72" s="54"/>
      <c r="AK72" s="54"/>
      <c r="AL72" s="54"/>
      <c r="AM72" s="54"/>
      <c r="AN72" s="54"/>
      <c r="AO72" s="54"/>
      <c r="AP72" s="53" t="s">
        <v>12</v>
      </c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5"/>
    </row>
    <row r="73" spans="1:56" x14ac:dyDescent="0.25">
      <c r="B73" s="77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5"/>
    </row>
    <row r="74" spans="1:56" x14ac:dyDescent="0.25"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8"/>
    </row>
    <row r="75" spans="1:56" ht="14.4" thickBot="1" x14ac:dyDescent="0.3">
      <c r="B75" s="79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1"/>
    </row>
    <row r="76" spans="1:56" s="6" customFormat="1" ht="7.5" customHeight="1" x14ac:dyDescent="0.25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</row>
    <row r="77" spans="1:56" ht="18.600000000000001" thickBot="1" x14ac:dyDescent="0.4">
      <c r="A77" s="32"/>
      <c r="B77" s="82" t="s">
        <v>13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4"/>
      <c r="BD77" s="23"/>
    </row>
    <row r="78" spans="1:56" x14ac:dyDescent="0.25">
      <c r="A78" s="33"/>
      <c r="B78" s="69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8"/>
    </row>
    <row r="79" spans="1:56" x14ac:dyDescent="0.25">
      <c r="A79" s="33"/>
      <c r="B79" s="73" t="s">
        <v>67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2"/>
      <c r="Z79" s="52"/>
      <c r="AA79" s="52"/>
      <c r="AB79" s="75" t="s">
        <v>68</v>
      </c>
      <c r="AC79" s="75"/>
      <c r="AD79" s="75"/>
      <c r="AE79" s="75"/>
      <c r="AF79" s="50"/>
      <c r="AG79" s="50"/>
      <c r="AH79" s="50"/>
      <c r="AI79" s="50"/>
      <c r="AJ79" s="50"/>
      <c r="AK79" s="50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50"/>
      <c r="BC79" s="78"/>
    </row>
    <row r="80" spans="1:56" x14ac:dyDescent="0.25">
      <c r="A80" s="33"/>
      <c r="B80" s="73" t="s">
        <v>35</v>
      </c>
      <c r="C80" s="74"/>
      <c r="D80" s="74"/>
      <c r="E80" s="74"/>
      <c r="F80" s="74"/>
      <c r="G80" s="74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76" t="s">
        <v>28</v>
      </c>
      <c r="Z80" s="76"/>
      <c r="AA80" s="76"/>
      <c r="AB80" s="76"/>
      <c r="AC80" s="50"/>
      <c r="AD80" s="50"/>
      <c r="AE80" s="50"/>
      <c r="AF80" s="50"/>
      <c r="AG80" s="50"/>
      <c r="AH80" s="50"/>
      <c r="AI80" s="50"/>
      <c r="AJ80" s="74" t="s">
        <v>70</v>
      </c>
      <c r="AK80" s="74"/>
      <c r="AL80" s="74"/>
      <c r="AM80" s="74"/>
      <c r="AN80" s="74"/>
      <c r="AO80" s="74"/>
      <c r="AP80" s="74"/>
      <c r="AQ80" s="74"/>
      <c r="AR80" s="74"/>
      <c r="AS80" s="52"/>
      <c r="AT80" s="50"/>
      <c r="AU80" s="50"/>
      <c r="AV80" s="50"/>
      <c r="AW80" s="50"/>
      <c r="AX80" s="50"/>
      <c r="AY80" s="50"/>
      <c r="AZ80" s="50"/>
      <c r="BA80" s="50"/>
      <c r="BB80" s="50"/>
      <c r="BC80" s="78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70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43"/>
      <c r="Q82" s="43"/>
      <c r="R82" s="43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8"/>
    </row>
    <row r="83" spans="1:55" x14ac:dyDescent="0.25">
      <c r="A83" s="33"/>
      <c r="B83" s="70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43"/>
      <c r="Q83" s="43"/>
      <c r="R83" s="43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8"/>
    </row>
    <row r="84" spans="1:55" s="31" customFormat="1" x14ac:dyDescent="0.25">
      <c r="A84" s="33"/>
      <c r="B84" s="45" t="s">
        <v>14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3"/>
      <c r="Q84" s="43"/>
      <c r="R84" s="43"/>
      <c r="S84" s="46" t="s">
        <v>71</v>
      </c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7"/>
      <c r="AM84" s="47"/>
      <c r="AN84" s="47"/>
      <c r="AO84" s="47"/>
      <c r="AP84" s="47"/>
      <c r="AQ84" s="47" t="s">
        <v>72</v>
      </c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8"/>
    </row>
    <row r="85" spans="1:55" s="31" customFormat="1" ht="14.4" x14ac:dyDescent="0.3">
      <c r="A85" s="3"/>
      <c r="B85" s="44" t="s">
        <v>94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abSelected="1" topLeftCell="A65" zoomScaleNormal="100" zoomScaleSheetLayoutView="75" workbookViewId="0">
      <selection activeCell="B96" sqref="B96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22"/>
      <c r="BB1" s="122"/>
      <c r="BC1" s="122"/>
    </row>
    <row r="2" spans="2:55" ht="4.5" customHeight="1" thickBot="1" x14ac:dyDescent="0.3"/>
    <row r="3" spans="2:55" ht="14.4" x14ac:dyDescent="0.3">
      <c r="B3" s="94" t="s">
        <v>42</v>
      </c>
      <c r="C3" s="95"/>
      <c r="D3" s="95"/>
      <c r="E3" s="112" t="s">
        <v>83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91" t="s">
        <v>28</v>
      </c>
      <c r="R3" s="91"/>
      <c r="S3" s="91"/>
      <c r="T3" s="91"/>
      <c r="U3" s="113">
        <v>301860</v>
      </c>
      <c r="V3" s="113"/>
      <c r="W3" s="113"/>
      <c r="X3" s="113"/>
      <c r="Y3" s="113"/>
      <c r="Z3" s="113"/>
      <c r="AA3" s="91" t="s">
        <v>41</v>
      </c>
      <c r="AB3" s="91"/>
      <c r="AC3" s="91"/>
      <c r="AD3" s="113" t="s">
        <v>86</v>
      </c>
      <c r="AE3" s="113"/>
      <c r="AF3" s="113"/>
      <c r="AG3" s="113"/>
      <c r="AH3" s="113"/>
      <c r="AI3" s="113"/>
      <c r="AJ3" s="113"/>
      <c r="AK3" s="113"/>
      <c r="AL3" s="113"/>
      <c r="AM3" s="95" t="s">
        <v>40</v>
      </c>
      <c r="AN3" s="95"/>
      <c r="AO3" s="95"/>
      <c r="AP3" s="113" t="s">
        <v>84</v>
      </c>
      <c r="AQ3" s="113"/>
      <c r="AR3" s="113"/>
      <c r="AS3" s="113"/>
      <c r="AT3" s="113"/>
      <c r="AU3" s="113"/>
      <c r="AV3" s="113"/>
      <c r="AW3" s="113"/>
      <c r="AX3" s="113"/>
      <c r="AY3" s="91" t="s">
        <v>55</v>
      </c>
      <c r="AZ3" s="91"/>
      <c r="BA3" s="91"/>
      <c r="BB3" s="113" t="s">
        <v>85</v>
      </c>
      <c r="BC3" s="114"/>
    </row>
    <row r="4" spans="2:55" ht="14.4" x14ac:dyDescent="0.3">
      <c r="B4" s="93" t="s">
        <v>47</v>
      </c>
      <c r="C4" s="74"/>
      <c r="D4" s="74"/>
      <c r="E4" s="74"/>
      <c r="F4" s="74"/>
      <c r="G4" s="74"/>
      <c r="H4" s="74"/>
      <c r="I4" s="89">
        <v>9</v>
      </c>
      <c r="J4" s="89"/>
      <c r="K4" s="46" t="s">
        <v>46</v>
      </c>
      <c r="L4" s="46"/>
      <c r="M4" s="46"/>
      <c r="N4" s="107" t="s">
        <v>105</v>
      </c>
      <c r="O4" s="107"/>
      <c r="P4" s="107"/>
      <c r="Q4" s="107"/>
      <c r="R4" s="97" t="s">
        <v>45</v>
      </c>
      <c r="S4" s="97"/>
      <c r="T4" s="97"/>
      <c r="U4" s="97"/>
      <c r="V4" s="89" t="s">
        <v>106</v>
      </c>
      <c r="W4" s="89"/>
      <c r="X4" s="89"/>
      <c r="Y4" s="89"/>
      <c r="Z4" s="89"/>
      <c r="AA4" s="75" t="s">
        <v>44</v>
      </c>
      <c r="AB4" s="75"/>
      <c r="AC4" s="75"/>
      <c r="AD4" s="75"/>
      <c r="AE4" s="75"/>
      <c r="AF4" s="75"/>
      <c r="AG4" s="75"/>
      <c r="AH4" s="75"/>
      <c r="AI4" s="50" t="s">
        <v>107</v>
      </c>
      <c r="AJ4" s="50"/>
      <c r="AK4" s="50"/>
      <c r="AL4" s="50"/>
      <c r="AM4" s="50"/>
      <c r="AN4" s="50"/>
      <c r="AO4" s="50"/>
      <c r="AP4" s="50"/>
      <c r="AQ4" s="50"/>
      <c r="AR4" s="50"/>
      <c r="AS4" s="76" t="s">
        <v>43</v>
      </c>
      <c r="AT4" s="76"/>
      <c r="AU4" s="76"/>
      <c r="AV4" s="76"/>
      <c r="AW4" s="98"/>
      <c r="AX4" s="98"/>
      <c r="AY4" s="98"/>
      <c r="AZ4" s="98"/>
      <c r="BA4" s="98"/>
      <c r="BB4" s="98"/>
      <c r="BC4" s="99"/>
    </row>
    <row r="5" spans="2:55" ht="2.25" customHeight="1" x14ac:dyDescent="0.25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1"/>
    </row>
    <row r="6" spans="2:55" ht="16.5" customHeight="1" x14ac:dyDescent="0.25">
      <c r="B6" s="137" t="s">
        <v>26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9"/>
      <c r="U6" s="178" t="s">
        <v>29</v>
      </c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90"/>
      <c r="AJ6" s="145" t="s">
        <v>62</v>
      </c>
      <c r="AK6" s="146"/>
      <c r="AL6" s="146"/>
      <c r="AM6" s="146"/>
      <c r="AN6" s="146"/>
      <c r="AO6" s="147"/>
      <c r="AP6" s="143" t="s">
        <v>8</v>
      </c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51"/>
    </row>
    <row r="7" spans="2:55" x14ac:dyDescent="0.25">
      <c r="B7" s="140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2"/>
      <c r="U7" s="178">
        <v>1</v>
      </c>
      <c r="V7" s="89"/>
      <c r="W7" s="89"/>
      <c r="X7" s="90"/>
      <c r="Y7" s="178">
        <v>2</v>
      </c>
      <c r="Z7" s="89"/>
      <c r="AA7" s="89"/>
      <c r="AB7" s="90"/>
      <c r="AC7" s="178">
        <v>3</v>
      </c>
      <c r="AD7" s="89"/>
      <c r="AE7" s="89"/>
      <c r="AF7" s="90"/>
      <c r="AG7" s="178">
        <v>4</v>
      </c>
      <c r="AH7" s="89"/>
      <c r="AI7" s="90"/>
      <c r="AJ7" s="148"/>
      <c r="AK7" s="149"/>
      <c r="AL7" s="149"/>
      <c r="AM7" s="149"/>
      <c r="AN7" s="149"/>
      <c r="AO7" s="150"/>
      <c r="AP7" s="144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52"/>
    </row>
    <row r="8" spans="2:55" x14ac:dyDescent="0.25">
      <c r="B8" s="169" t="s">
        <v>1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1"/>
      <c r="U8" s="165">
        <v>75</v>
      </c>
      <c r="V8" s="166"/>
      <c r="W8" s="166"/>
      <c r="X8" s="168"/>
      <c r="Y8" s="165">
        <v>78</v>
      </c>
      <c r="Z8" s="166"/>
      <c r="AA8" s="166"/>
      <c r="AB8" s="168"/>
      <c r="AC8" s="165">
        <v>75</v>
      </c>
      <c r="AD8" s="166"/>
      <c r="AE8" s="166"/>
      <c r="AF8" s="168"/>
      <c r="AG8" s="165">
        <v>78</v>
      </c>
      <c r="AH8" s="166"/>
      <c r="AI8" s="168"/>
      <c r="AJ8" s="175">
        <f>AVERAGE(AG8,AC8,Y8,U8)</f>
        <v>76.5</v>
      </c>
      <c r="AK8" s="176"/>
      <c r="AL8" s="176"/>
      <c r="AM8" s="176"/>
      <c r="AN8" s="176"/>
      <c r="AO8" s="177"/>
      <c r="AP8" s="100" t="s">
        <v>88</v>
      </c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1"/>
    </row>
    <row r="9" spans="2:55" x14ac:dyDescent="0.25">
      <c r="B9" s="169" t="s">
        <v>2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1"/>
      <c r="U9" s="165">
        <v>76</v>
      </c>
      <c r="V9" s="166"/>
      <c r="W9" s="166"/>
      <c r="X9" s="168"/>
      <c r="Y9" s="165">
        <v>77</v>
      </c>
      <c r="Z9" s="166"/>
      <c r="AA9" s="166"/>
      <c r="AB9" s="168"/>
      <c r="AC9" s="165">
        <v>76</v>
      </c>
      <c r="AD9" s="166"/>
      <c r="AE9" s="166"/>
      <c r="AF9" s="168"/>
      <c r="AG9" s="165">
        <v>77</v>
      </c>
      <c r="AH9" s="166"/>
      <c r="AI9" s="168"/>
      <c r="AJ9" s="175">
        <f t="shared" ref="AJ9:AJ19" si="0">AVERAGE(AG9,AC9,Y9,U9)</f>
        <v>76.5</v>
      </c>
      <c r="AK9" s="176"/>
      <c r="AL9" s="176"/>
      <c r="AM9" s="176"/>
      <c r="AN9" s="176"/>
      <c r="AO9" s="177"/>
      <c r="AP9" s="100" t="s">
        <v>88</v>
      </c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1"/>
    </row>
    <row r="10" spans="2:55" x14ac:dyDescent="0.25">
      <c r="B10" s="169" t="s">
        <v>3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1"/>
      <c r="U10" s="165">
        <v>75</v>
      </c>
      <c r="V10" s="166"/>
      <c r="W10" s="166"/>
      <c r="X10" s="168"/>
      <c r="Y10" s="165">
        <v>77</v>
      </c>
      <c r="Z10" s="166"/>
      <c r="AA10" s="166"/>
      <c r="AB10" s="168"/>
      <c r="AC10" s="165">
        <v>77</v>
      </c>
      <c r="AD10" s="166"/>
      <c r="AE10" s="166"/>
      <c r="AF10" s="168"/>
      <c r="AG10" s="165">
        <v>82</v>
      </c>
      <c r="AH10" s="166"/>
      <c r="AI10" s="168"/>
      <c r="AJ10" s="175">
        <f t="shared" si="0"/>
        <v>77.75</v>
      </c>
      <c r="AK10" s="176"/>
      <c r="AL10" s="176"/>
      <c r="AM10" s="176"/>
      <c r="AN10" s="176"/>
      <c r="AO10" s="177"/>
      <c r="AP10" s="100" t="s">
        <v>88</v>
      </c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1"/>
    </row>
    <row r="11" spans="2:55" x14ac:dyDescent="0.25">
      <c r="B11" s="169" t="s">
        <v>57</v>
      </c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1"/>
      <c r="U11" s="165">
        <v>76</v>
      </c>
      <c r="V11" s="166"/>
      <c r="W11" s="166"/>
      <c r="X11" s="168"/>
      <c r="Y11" s="165">
        <v>75</v>
      </c>
      <c r="Z11" s="166"/>
      <c r="AA11" s="166"/>
      <c r="AB11" s="168"/>
      <c r="AC11" s="165">
        <v>75</v>
      </c>
      <c r="AD11" s="166"/>
      <c r="AE11" s="166"/>
      <c r="AF11" s="168"/>
      <c r="AG11" s="165">
        <v>82</v>
      </c>
      <c r="AH11" s="166"/>
      <c r="AI11" s="168"/>
      <c r="AJ11" s="175">
        <f t="shared" si="0"/>
        <v>77</v>
      </c>
      <c r="AK11" s="176"/>
      <c r="AL11" s="176"/>
      <c r="AM11" s="176"/>
      <c r="AN11" s="176"/>
      <c r="AO11" s="177"/>
      <c r="AP11" s="100" t="s">
        <v>88</v>
      </c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1"/>
    </row>
    <row r="12" spans="2:55" x14ac:dyDescent="0.25">
      <c r="B12" s="169" t="s">
        <v>4</v>
      </c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1"/>
      <c r="U12" s="165">
        <v>82</v>
      </c>
      <c r="V12" s="166"/>
      <c r="W12" s="166"/>
      <c r="X12" s="168"/>
      <c r="Y12" s="165">
        <v>82</v>
      </c>
      <c r="Z12" s="166"/>
      <c r="AA12" s="166"/>
      <c r="AB12" s="168"/>
      <c r="AC12" s="165">
        <v>78</v>
      </c>
      <c r="AD12" s="166"/>
      <c r="AE12" s="166"/>
      <c r="AF12" s="168"/>
      <c r="AG12" s="165">
        <v>76</v>
      </c>
      <c r="AH12" s="166"/>
      <c r="AI12" s="168"/>
      <c r="AJ12" s="175">
        <f t="shared" si="0"/>
        <v>79.5</v>
      </c>
      <c r="AK12" s="176"/>
      <c r="AL12" s="176"/>
      <c r="AM12" s="176"/>
      <c r="AN12" s="176"/>
      <c r="AO12" s="177"/>
      <c r="AP12" s="100" t="s">
        <v>88</v>
      </c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1"/>
    </row>
    <row r="13" spans="2:55" x14ac:dyDescent="0.25">
      <c r="B13" s="169" t="s">
        <v>5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1"/>
      <c r="U13" s="165">
        <v>79</v>
      </c>
      <c r="V13" s="166"/>
      <c r="W13" s="166"/>
      <c r="X13" s="168"/>
      <c r="Y13" s="165">
        <v>81</v>
      </c>
      <c r="Z13" s="166"/>
      <c r="AA13" s="166"/>
      <c r="AB13" s="168"/>
      <c r="AC13" s="165">
        <v>76</v>
      </c>
      <c r="AD13" s="166"/>
      <c r="AE13" s="166"/>
      <c r="AF13" s="168"/>
      <c r="AG13" s="165">
        <v>80</v>
      </c>
      <c r="AH13" s="166"/>
      <c r="AI13" s="168"/>
      <c r="AJ13" s="175">
        <f t="shared" si="0"/>
        <v>79</v>
      </c>
      <c r="AK13" s="176"/>
      <c r="AL13" s="176"/>
      <c r="AM13" s="176"/>
      <c r="AN13" s="176"/>
      <c r="AO13" s="177"/>
      <c r="AP13" s="100" t="s">
        <v>88</v>
      </c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1"/>
    </row>
    <row r="14" spans="2:55" x14ac:dyDescent="0.25">
      <c r="B14" s="169" t="s">
        <v>6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1"/>
      <c r="U14" s="165">
        <v>76</v>
      </c>
      <c r="V14" s="166"/>
      <c r="W14" s="166"/>
      <c r="X14" s="168"/>
      <c r="Y14" s="165">
        <v>78</v>
      </c>
      <c r="Z14" s="166"/>
      <c r="AA14" s="166"/>
      <c r="AB14" s="168"/>
      <c r="AC14" s="165">
        <v>75</v>
      </c>
      <c r="AD14" s="166"/>
      <c r="AE14" s="166"/>
      <c r="AF14" s="168"/>
      <c r="AG14" s="165">
        <v>76</v>
      </c>
      <c r="AH14" s="166"/>
      <c r="AI14" s="168"/>
      <c r="AJ14" s="175">
        <f t="shared" si="0"/>
        <v>76.25</v>
      </c>
      <c r="AK14" s="176"/>
      <c r="AL14" s="176"/>
      <c r="AM14" s="176"/>
      <c r="AN14" s="176"/>
      <c r="AO14" s="177"/>
      <c r="AP14" s="100" t="s">
        <v>88</v>
      </c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1"/>
    </row>
    <row r="15" spans="2:55" x14ac:dyDescent="0.25">
      <c r="B15" s="169" t="s">
        <v>7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1"/>
      <c r="U15" s="165">
        <v>76</v>
      </c>
      <c r="V15" s="166"/>
      <c r="W15" s="166"/>
      <c r="X15" s="168"/>
      <c r="Y15" s="165">
        <v>81</v>
      </c>
      <c r="Z15" s="166"/>
      <c r="AA15" s="166"/>
      <c r="AB15" s="168"/>
      <c r="AC15" s="165">
        <v>75</v>
      </c>
      <c r="AD15" s="166"/>
      <c r="AE15" s="166"/>
      <c r="AF15" s="168"/>
      <c r="AG15" s="165">
        <v>88</v>
      </c>
      <c r="AH15" s="166"/>
      <c r="AI15" s="168"/>
      <c r="AJ15" s="175">
        <f t="shared" si="0"/>
        <v>80</v>
      </c>
      <c r="AK15" s="176"/>
      <c r="AL15" s="176"/>
      <c r="AM15" s="176"/>
      <c r="AN15" s="176"/>
      <c r="AO15" s="177"/>
      <c r="AP15" s="100" t="s">
        <v>88</v>
      </c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1"/>
    </row>
    <row r="16" spans="2:55" x14ac:dyDescent="0.25">
      <c r="B16" s="172" t="s">
        <v>58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4"/>
      <c r="U16" s="165">
        <v>77</v>
      </c>
      <c r="V16" s="166"/>
      <c r="W16" s="166"/>
      <c r="X16" s="168"/>
      <c r="Y16" s="165">
        <v>78</v>
      </c>
      <c r="Z16" s="166"/>
      <c r="AA16" s="166"/>
      <c r="AB16" s="168"/>
      <c r="AC16" s="165">
        <v>75</v>
      </c>
      <c r="AD16" s="166"/>
      <c r="AE16" s="166"/>
      <c r="AF16" s="168"/>
      <c r="AG16" s="165">
        <v>83</v>
      </c>
      <c r="AH16" s="166"/>
      <c r="AI16" s="168"/>
      <c r="AJ16" s="175">
        <f t="shared" si="0"/>
        <v>78.25</v>
      </c>
      <c r="AK16" s="176"/>
      <c r="AL16" s="176"/>
      <c r="AM16" s="176"/>
      <c r="AN16" s="176"/>
      <c r="AO16" s="177"/>
      <c r="AP16" s="100" t="s">
        <v>88</v>
      </c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1"/>
    </row>
    <row r="17" spans="2:56" x14ac:dyDescent="0.25">
      <c r="B17" s="172" t="s">
        <v>59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4"/>
      <c r="U17" s="165">
        <v>77</v>
      </c>
      <c r="V17" s="166"/>
      <c r="W17" s="166"/>
      <c r="X17" s="168"/>
      <c r="Y17" s="165">
        <v>76</v>
      </c>
      <c r="Z17" s="166"/>
      <c r="AA17" s="166"/>
      <c r="AB17" s="168"/>
      <c r="AC17" s="165">
        <v>75</v>
      </c>
      <c r="AD17" s="166"/>
      <c r="AE17" s="166"/>
      <c r="AF17" s="168"/>
      <c r="AG17" s="165">
        <v>84</v>
      </c>
      <c r="AH17" s="166"/>
      <c r="AI17" s="168"/>
      <c r="AJ17" s="175">
        <f t="shared" si="0"/>
        <v>78</v>
      </c>
      <c r="AK17" s="176"/>
      <c r="AL17" s="176"/>
      <c r="AM17" s="176"/>
      <c r="AN17" s="176"/>
      <c r="AO17" s="177"/>
      <c r="AP17" s="100" t="s">
        <v>88</v>
      </c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1"/>
    </row>
    <row r="18" spans="2:56" x14ac:dyDescent="0.25">
      <c r="B18" s="172" t="s">
        <v>60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4"/>
      <c r="U18" s="165">
        <v>76</v>
      </c>
      <c r="V18" s="166"/>
      <c r="W18" s="166"/>
      <c r="X18" s="168"/>
      <c r="Y18" s="165">
        <v>85</v>
      </c>
      <c r="Z18" s="166"/>
      <c r="AA18" s="166"/>
      <c r="AB18" s="168"/>
      <c r="AC18" s="165">
        <v>75</v>
      </c>
      <c r="AD18" s="166"/>
      <c r="AE18" s="166"/>
      <c r="AF18" s="168"/>
      <c r="AG18" s="165">
        <v>92</v>
      </c>
      <c r="AH18" s="166"/>
      <c r="AI18" s="168"/>
      <c r="AJ18" s="175">
        <f t="shared" si="0"/>
        <v>82</v>
      </c>
      <c r="AK18" s="176"/>
      <c r="AL18" s="176"/>
      <c r="AM18" s="176"/>
      <c r="AN18" s="176"/>
      <c r="AO18" s="177"/>
      <c r="AP18" s="100" t="s">
        <v>88</v>
      </c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1"/>
    </row>
    <row r="19" spans="2:56" x14ac:dyDescent="0.25">
      <c r="B19" s="172" t="s">
        <v>61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65">
        <v>75</v>
      </c>
      <c r="V19" s="166"/>
      <c r="W19" s="166"/>
      <c r="X19" s="168"/>
      <c r="Y19" s="165">
        <v>85</v>
      </c>
      <c r="Z19" s="166"/>
      <c r="AA19" s="166"/>
      <c r="AB19" s="168"/>
      <c r="AC19" s="165">
        <v>75</v>
      </c>
      <c r="AD19" s="166"/>
      <c r="AE19" s="166"/>
      <c r="AF19" s="168"/>
      <c r="AG19" s="165">
        <v>93</v>
      </c>
      <c r="AH19" s="166"/>
      <c r="AI19" s="168"/>
      <c r="AJ19" s="175">
        <f t="shared" si="0"/>
        <v>82</v>
      </c>
      <c r="AK19" s="176"/>
      <c r="AL19" s="176"/>
      <c r="AM19" s="176"/>
      <c r="AN19" s="176"/>
      <c r="AO19" s="177"/>
      <c r="AP19" s="100" t="s">
        <v>88</v>
      </c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1"/>
    </row>
    <row r="20" spans="2:56" x14ac:dyDescent="0.25">
      <c r="B20" s="169" t="s">
        <v>90</v>
      </c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1"/>
      <c r="U20" s="165"/>
      <c r="V20" s="166"/>
      <c r="W20" s="166"/>
      <c r="X20" s="168"/>
      <c r="Y20" s="165"/>
      <c r="Z20" s="166"/>
      <c r="AA20" s="166"/>
      <c r="AB20" s="168"/>
      <c r="AC20" s="165"/>
      <c r="AD20" s="166"/>
      <c r="AE20" s="166"/>
      <c r="AF20" s="168"/>
      <c r="AG20" s="165"/>
      <c r="AH20" s="166"/>
      <c r="AI20" s="168"/>
      <c r="AJ20" s="175"/>
      <c r="AK20" s="176"/>
      <c r="AL20" s="176"/>
      <c r="AM20" s="176"/>
      <c r="AN20" s="176"/>
      <c r="AO20" s="177"/>
      <c r="AP20" s="165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7"/>
    </row>
    <row r="21" spans="2:56" x14ac:dyDescent="0.25">
      <c r="B21" s="156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8"/>
      <c r="U21" s="165"/>
      <c r="V21" s="166"/>
      <c r="W21" s="166"/>
      <c r="X21" s="168"/>
      <c r="Y21" s="165"/>
      <c r="Z21" s="166"/>
      <c r="AA21" s="166"/>
      <c r="AB21" s="168"/>
      <c r="AC21" s="165"/>
      <c r="AD21" s="166"/>
      <c r="AE21" s="166"/>
      <c r="AF21" s="168"/>
      <c r="AG21" s="165"/>
      <c r="AH21" s="166"/>
      <c r="AI21" s="168"/>
      <c r="AJ21" s="175"/>
      <c r="AK21" s="176"/>
      <c r="AL21" s="176"/>
      <c r="AM21" s="176"/>
      <c r="AN21" s="176"/>
      <c r="AO21" s="177"/>
      <c r="AP21" s="165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7"/>
    </row>
    <row r="22" spans="2:56" x14ac:dyDescent="0.25">
      <c r="B22" s="156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8"/>
      <c r="U22" s="159" t="s">
        <v>9</v>
      </c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1"/>
      <c r="AJ22" s="162">
        <f>AVERAGE(AJ8,AJ9,AJ10,AJ11,AJ12,AJ13,AJ14,AJ15)</f>
        <v>77.8125</v>
      </c>
      <c r="AK22" s="179"/>
      <c r="AL22" s="179"/>
      <c r="AM22" s="179"/>
      <c r="AN22" s="179"/>
      <c r="AO22" s="180"/>
      <c r="AP22" s="64" t="s">
        <v>89</v>
      </c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6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67" t="s">
        <v>15</v>
      </c>
      <c r="C24" s="68"/>
      <c r="D24" s="68"/>
      <c r="E24" s="68"/>
      <c r="F24" s="68"/>
      <c r="G24" s="68"/>
      <c r="H24" s="68"/>
      <c r="I24" s="68"/>
      <c r="J24" s="68"/>
      <c r="K24" s="163"/>
      <c r="L24" s="164" t="s">
        <v>64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65"/>
      <c r="Y24" s="65"/>
      <c r="Z24" s="65"/>
      <c r="AA24" s="65"/>
      <c r="AB24" s="65"/>
      <c r="AC24" s="65"/>
      <c r="AD24" s="65"/>
      <c r="AE24" s="65"/>
      <c r="AF24" s="65"/>
      <c r="AG24" s="72" t="s">
        <v>66</v>
      </c>
      <c r="AH24" s="72"/>
      <c r="AI24" s="72"/>
      <c r="AJ24" s="72"/>
      <c r="AK24" s="72"/>
      <c r="AL24" s="65"/>
      <c r="AM24" s="65"/>
      <c r="AN24" s="65"/>
      <c r="AO24" s="65"/>
      <c r="AP24" s="65"/>
      <c r="AQ24" s="65"/>
      <c r="AR24" s="65"/>
      <c r="AS24" s="65"/>
      <c r="AT24" s="65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37" t="s">
        <v>27</v>
      </c>
      <c r="C26" s="138"/>
      <c r="D26" s="138"/>
      <c r="E26" s="138"/>
      <c r="F26" s="138"/>
      <c r="G26" s="138"/>
      <c r="H26" s="138"/>
      <c r="I26" s="138"/>
      <c r="J26" s="138"/>
      <c r="K26" s="139"/>
      <c r="L26" s="143" t="s">
        <v>10</v>
      </c>
      <c r="M26" s="138"/>
      <c r="N26" s="138"/>
      <c r="O26" s="138"/>
      <c r="P26" s="138"/>
      <c r="Q26" s="138"/>
      <c r="R26" s="138"/>
      <c r="S26" s="138"/>
      <c r="T26" s="139"/>
      <c r="U26" s="143" t="s">
        <v>11</v>
      </c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9"/>
      <c r="AH26" s="145" t="s">
        <v>63</v>
      </c>
      <c r="AI26" s="146"/>
      <c r="AJ26" s="146"/>
      <c r="AK26" s="146"/>
      <c r="AL26" s="146"/>
      <c r="AM26" s="146"/>
      <c r="AN26" s="146"/>
      <c r="AO26" s="147"/>
      <c r="AP26" s="143" t="s">
        <v>12</v>
      </c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51"/>
    </row>
    <row r="27" spans="2:56" x14ac:dyDescent="0.25">
      <c r="B27" s="140"/>
      <c r="C27" s="141"/>
      <c r="D27" s="141"/>
      <c r="E27" s="141"/>
      <c r="F27" s="141"/>
      <c r="G27" s="141"/>
      <c r="H27" s="141"/>
      <c r="I27" s="141"/>
      <c r="J27" s="141"/>
      <c r="K27" s="142"/>
      <c r="L27" s="144"/>
      <c r="M27" s="141"/>
      <c r="N27" s="141"/>
      <c r="O27" s="141"/>
      <c r="P27" s="141"/>
      <c r="Q27" s="141"/>
      <c r="R27" s="141"/>
      <c r="S27" s="141"/>
      <c r="T27" s="142"/>
      <c r="U27" s="144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2"/>
      <c r="AH27" s="148"/>
      <c r="AI27" s="149"/>
      <c r="AJ27" s="149"/>
      <c r="AK27" s="149"/>
      <c r="AL27" s="149"/>
      <c r="AM27" s="149"/>
      <c r="AN27" s="149"/>
      <c r="AO27" s="150"/>
      <c r="AP27" s="144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52"/>
    </row>
    <row r="28" spans="2:56" x14ac:dyDescent="0.25">
      <c r="B28" s="153"/>
      <c r="C28" s="65"/>
      <c r="D28" s="65"/>
      <c r="E28" s="65"/>
      <c r="F28" s="65"/>
      <c r="G28" s="65"/>
      <c r="H28" s="65"/>
      <c r="I28" s="65"/>
      <c r="J28" s="65"/>
      <c r="K28" s="154"/>
      <c r="L28" s="64"/>
      <c r="M28" s="65"/>
      <c r="N28" s="65"/>
      <c r="O28" s="65"/>
      <c r="P28" s="65"/>
      <c r="Q28" s="65"/>
      <c r="R28" s="65"/>
      <c r="S28" s="65"/>
      <c r="T28" s="154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154"/>
      <c r="AH28" s="64"/>
      <c r="AI28" s="65"/>
      <c r="AJ28" s="65"/>
      <c r="AK28" s="65"/>
      <c r="AL28" s="65"/>
      <c r="AM28" s="65"/>
      <c r="AN28" s="65"/>
      <c r="AO28" s="154"/>
      <c r="AP28" s="64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6"/>
    </row>
    <row r="29" spans="2:56" ht="14.4" thickBot="1" x14ac:dyDescent="0.3">
      <c r="B29" s="132"/>
      <c r="C29" s="133"/>
      <c r="D29" s="133"/>
      <c r="E29" s="133"/>
      <c r="F29" s="133"/>
      <c r="G29" s="133"/>
      <c r="H29" s="133"/>
      <c r="I29" s="133"/>
      <c r="J29" s="133"/>
      <c r="K29" s="134"/>
      <c r="L29" s="135"/>
      <c r="M29" s="133"/>
      <c r="N29" s="133"/>
      <c r="O29" s="133"/>
      <c r="P29" s="133"/>
      <c r="Q29" s="133"/>
      <c r="R29" s="133"/>
      <c r="S29" s="133"/>
      <c r="T29" s="134"/>
      <c r="U29" s="135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4"/>
      <c r="AH29" s="135"/>
      <c r="AI29" s="133"/>
      <c r="AJ29" s="133"/>
      <c r="AK29" s="133"/>
      <c r="AL29" s="133"/>
      <c r="AM29" s="133"/>
      <c r="AN29" s="133"/>
      <c r="AO29" s="134"/>
      <c r="AP29" s="135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6"/>
    </row>
    <row r="30" spans="2:56" ht="4.5" customHeight="1" thickBo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2:56" ht="14.4" x14ac:dyDescent="0.3">
      <c r="B31" s="94" t="s">
        <v>42</v>
      </c>
      <c r="C31" s="95"/>
      <c r="D31" s="95"/>
      <c r="E31" s="112" t="s">
        <v>83</v>
      </c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91" t="s">
        <v>28</v>
      </c>
      <c r="R31" s="91"/>
      <c r="S31" s="91"/>
      <c r="T31" s="91"/>
      <c r="U31" s="113">
        <v>301860</v>
      </c>
      <c r="V31" s="113"/>
      <c r="W31" s="113"/>
      <c r="X31" s="113"/>
      <c r="Y31" s="113"/>
      <c r="Z31" s="113"/>
      <c r="AA31" s="91" t="s">
        <v>41</v>
      </c>
      <c r="AB31" s="91"/>
      <c r="AC31" s="91"/>
      <c r="AD31" s="113" t="s">
        <v>86</v>
      </c>
      <c r="AE31" s="113"/>
      <c r="AF31" s="113"/>
      <c r="AG31" s="113"/>
      <c r="AH31" s="113"/>
      <c r="AI31" s="113"/>
      <c r="AJ31" s="113"/>
      <c r="AK31" s="113"/>
      <c r="AL31" s="113"/>
      <c r="AM31" s="95" t="s">
        <v>40</v>
      </c>
      <c r="AN31" s="95"/>
      <c r="AO31" s="95"/>
      <c r="AP31" s="113" t="s">
        <v>84</v>
      </c>
      <c r="AQ31" s="113"/>
      <c r="AR31" s="113"/>
      <c r="AS31" s="113"/>
      <c r="AT31" s="113"/>
      <c r="AU31" s="113"/>
      <c r="AV31" s="113"/>
      <c r="AW31" s="113"/>
      <c r="AX31" s="113"/>
      <c r="AY31" s="91" t="s">
        <v>55</v>
      </c>
      <c r="AZ31" s="91"/>
      <c r="BA31" s="91"/>
      <c r="BB31" s="113" t="s">
        <v>85</v>
      </c>
      <c r="BC31" s="114"/>
    </row>
    <row r="32" spans="2:56" x14ac:dyDescent="0.25">
      <c r="B32" s="93" t="s">
        <v>47</v>
      </c>
      <c r="C32" s="74"/>
      <c r="D32" s="74"/>
      <c r="E32" s="74"/>
      <c r="F32" s="74"/>
      <c r="G32" s="74"/>
      <c r="H32" s="74"/>
      <c r="I32" s="89">
        <v>10</v>
      </c>
      <c r="J32" s="89"/>
      <c r="K32" s="96" t="s">
        <v>46</v>
      </c>
      <c r="L32" s="96"/>
      <c r="M32" s="96"/>
      <c r="N32" s="184" t="s">
        <v>108</v>
      </c>
      <c r="O32" s="184"/>
      <c r="P32" s="184"/>
      <c r="Q32" s="184"/>
      <c r="R32" s="97" t="s">
        <v>45</v>
      </c>
      <c r="S32" s="97"/>
      <c r="T32" s="97"/>
      <c r="U32" s="97"/>
      <c r="V32" s="89" t="s">
        <v>109</v>
      </c>
      <c r="W32" s="89"/>
      <c r="X32" s="89"/>
      <c r="Y32" s="89"/>
      <c r="Z32" s="89"/>
      <c r="AA32" s="75" t="s">
        <v>44</v>
      </c>
      <c r="AB32" s="75"/>
      <c r="AC32" s="75"/>
      <c r="AD32" s="75"/>
      <c r="AE32" s="75"/>
      <c r="AF32" s="75"/>
      <c r="AG32" s="75"/>
      <c r="AH32" s="75"/>
      <c r="AI32" s="50" t="s">
        <v>110</v>
      </c>
      <c r="AJ32" s="50"/>
      <c r="AK32" s="50"/>
      <c r="AL32" s="50"/>
      <c r="AM32" s="50"/>
      <c r="AN32" s="50"/>
      <c r="AO32" s="50"/>
      <c r="AP32" s="50"/>
      <c r="AQ32" s="50"/>
      <c r="AR32" s="50"/>
      <c r="AS32" s="76" t="s">
        <v>43</v>
      </c>
      <c r="AT32" s="76"/>
      <c r="AU32" s="76"/>
      <c r="AV32" s="76"/>
      <c r="AW32" s="98"/>
      <c r="AX32" s="98"/>
      <c r="AY32" s="98"/>
      <c r="AZ32" s="98"/>
      <c r="BA32" s="98"/>
      <c r="BB32" s="98"/>
      <c r="BC32" s="99"/>
    </row>
    <row r="33" spans="2:55" ht="2.25" customHeight="1" x14ac:dyDescent="0.25"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1"/>
    </row>
    <row r="34" spans="2:55" ht="16.5" customHeight="1" x14ac:dyDescent="0.25">
      <c r="B34" s="137" t="s">
        <v>26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9"/>
      <c r="U34" s="178" t="s">
        <v>29</v>
      </c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90"/>
      <c r="AJ34" s="145" t="s">
        <v>62</v>
      </c>
      <c r="AK34" s="146"/>
      <c r="AL34" s="146"/>
      <c r="AM34" s="146"/>
      <c r="AN34" s="146"/>
      <c r="AO34" s="147"/>
      <c r="AP34" s="143" t="s">
        <v>8</v>
      </c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51"/>
    </row>
    <row r="35" spans="2:55" x14ac:dyDescent="0.25">
      <c r="B35" s="140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2"/>
      <c r="U35" s="178">
        <v>1</v>
      </c>
      <c r="V35" s="89"/>
      <c r="W35" s="89"/>
      <c r="X35" s="90"/>
      <c r="Y35" s="178">
        <v>2</v>
      </c>
      <c r="Z35" s="89"/>
      <c r="AA35" s="89"/>
      <c r="AB35" s="90"/>
      <c r="AC35" s="178">
        <v>3</v>
      </c>
      <c r="AD35" s="89"/>
      <c r="AE35" s="89"/>
      <c r="AF35" s="90"/>
      <c r="AG35" s="178">
        <v>4</v>
      </c>
      <c r="AH35" s="89"/>
      <c r="AI35" s="90"/>
      <c r="AJ35" s="148"/>
      <c r="AK35" s="149"/>
      <c r="AL35" s="149"/>
      <c r="AM35" s="149"/>
      <c r="AN35" s="149"/>
      <c r="AO35" s="150"/>
      <c r="AP35" s="144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52"/>
    </row>
    <row r="36" spans="2:55" x14ac:dyDescent="0.25">
      <c r="B36" s="169" t="s">
        <v>1</v>
      </c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1"/>
      <c r="U36" s="165">
        <v>89</v>
      </c>
      <c r="V36" s="166"/>
      <c r="W36" s="166"/>
      <c r="X36" s="168"/>
      <c r="Y36" s="165">
        <v>84</v>
      </c>
      <c r="Z36" s="166"/>
      <c r="AA36" s="166"/>
      <c r="AB36" s="168"/>
      <c r="AC36" s="165">
        <v>89</v>
      </c>
      <c r="AD36" s="166"/>
      <c r="AE36" s="166"/>
      <c r="AF36" s="168"/>
      <c r="AG36" s="165">
        <v>91</v>
      </c>
      <c r="AH36" s="166"/>
      <c r="AI36" s="168"/>
      <c r="AJ36" s="175">
        <f>AVERAGE(AG36,AC36,Y36,U36)</f>
        <v>88.25</v>
      </c>
      <c r="AK36" s="176"/>
      <c r="AL36" s="176"/>
      <c r="AM36" s="176"/>
      <c r="AN36" s="176"/>
      <c r="AO36" s="177"/>
      <c r="AP36" s="100" t="s">
        <v>88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5" x14ac:dyDescent="0.25">
      <c r="B37" s="169" t="s">
        <v>2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1"/>
      <c r="U37" s="165">
        <v>83</v>
      </c>
      <c r="V37" s="166"/>
      <c r="W37" s="166"/>
      <c r="X37" s="168"/>
      <c r="Y37" s="165">
        <v>79</v>
      </c>
      <c r="Z37" s="166"/>
      <c r="AA37" s="166"/>
      <c r="AB37" s="168"/>
      <c r="AC37" s="165">
        <v>84</v>
      </c>
      <c r="AD37" s="166"/>
      <c r="AE37" s="166"/>
      <c r="AF37" s="168"/>
      <c r="AG37" s="165">
        <v>83</v>
      </c>
      <c r="AH37" s="166"/>
      <c r="AI37" s="168"/>
      <c r="AJ37" s="175">
        <f t="shared" ref="AJ37:AJ47" si="1">AVERAGE(AG37,AC37,Y37,U37)</f>
        <v>82.25</v>
      </c>
      <c r="AK37" s="176"/>
      <c r="AL37" s="176"/>
      <c r="AM37" s="176"/>
      <c r="AN37" s="176"/>
      <c r="AO37" s="177"/>
      <c r="AP37" s="100" t="s">
        <v>88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5" x14ac:dyDescent="0.25">
      <c r="B38" s="169" t="s">
        <v>3</v>
      </c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1"/>
      <c r="U38" s="165">
        <v>86</v>
      </c>
      <c r="V38" s="166"/>
      <c r="W38" s="166"/>
      <c r="X38" s="168"/>
      <c r="Y38" s="165">
        <v>80</v>
      </c>
      <c r="Z38" s="166"/>
      <c r="AA38" s="166"/>
      <c r="AB38" s="168"/>
      <c r="AC38" s="165">
        <v>78</v>
      </c>
      <c r="AD38" s="166"/>
      <c r="AE38" s="166"/>
      <c r="AF38" s="168"/>
      <c r="AG38" s="165">
        <v>81</v>
      </c>
      <c r="AH38" s="166"/>
      <c r="AI38" s="168"/>
      <c r="AJ38" s="175">
        <f t="shared" si="1"/>
        <v>81.25</v>
      </c>
      <c r="AK38" s="176"/>
      <c r="AL38" s="176"/>
      <c r="AM38" s="176"/>
      <c r="AN38" s="176"/>
      <c r="AO38" s="177"/>
      <c r="AP38" s="100" t="s">
        <v>88</v>
      </c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5" x14ac:dyDescent="0.25">
      <c r="B39" s="169" t="s">
        <v>57</v>
      </c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1"/>
      <c r="U39" s="165">
        <v>76</v>
      </c>
      <c r="V39" s="166"/>
      <c r="W39" s="166"/>
      <c r="X39" s="168"/>
      <c r="Y39" s="165">
        <v>85</v>
      </c>
      <c r="Z39" s="166"/>
      <c r="AA39" s="166"/>
      <c r="AB39" s="168"/>
      <c r="AC39" s="165">
        <v>78</v>
      </c>
      <c r="AD39" s="166"/>
      <c r="AE39" s="166"/>
      <c r="AF39" s="168"/>
      <c r="AG39" s="165">
        <v>81</v>
      </c>
      <c r="AH39" s="166"/>
      <c r="AI39" s="168"/>
      <c r="AJ39" s="175">
        <f t="shared" si="1"/>
        <v>80</v>
      </c>
      <c r="AK39" s="176"/>
      <c r="AL39" s="176"/>
      <c r="AM39" s="176"/>
      <c r="AN39" s="176"/>
      <c r="AO39" s="177"/>
      <c r="AP39" s="100" t="s">
        <v>88</v>
      </c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5" x14ac:dyDescent="0.25">
      <c r="B40" s="169" t="s">
        <v>4</v>
      </c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1"/>
      <c r="U40" s="165">
        <v>90</v>
      </c>
      <c r="V40" s="166"/>
      <c r="W40" s="166"/>
      <c r="X40" s="168"/>
      <c r="Y40" s="165">
        <v>83</v>
      </c>
      <c r="Z40" s="166"/>
      <c r="AA40" s="166"/>
      <c r="AB40" s="168"/>
      <c r="AC40" s="165">
        <v>84</v>
      </c>
      <c r="AD40" s="166"/>
      <c r="AE40" s="166"/>
      <c r="AF40" s="168"/>
      <c r="AG40" s="165">
        <v>87</v>
      </c>
      <c r="AH40" s="166"/>
      <c r="AI40" s="168"/>
      <c r="AJ40" s="175">
        <f t="shared" si="1"/>
        <v>86</v>
      </c>
      <c r="AK40" s="176"/>
      <c r="AL40" s="176"/>
      <c r="AM40" s="176"/>
      <c r="AN40" s="176"/>
      <c r="AO40" s="177"/>
      <c r="AP40" s="100" t="s">
        <v>88</v>
      </c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1"/>
    </row>
    <row r="41" spans="2:55" x14ac:dyDescent="0.25">
      <c r="B41" s="169" t="s">
        <v>5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1"/>
      <c r="U41" s="165">
        <v>84</v>
      </c>
      <c r="V41" s="166"/>
      <c r="W41" s="166"/>
      <c r="X41" s="168"/>
      <c r="Y41" s="165">
        <v>82</v>
      </c>
      <c r="Z41" s="166"/>
      <c r="AA41" s="166"/>
      <c r="AB41" s="168"/>
      <c r="AC41" s="165">
        <v>81</v>
      </c>
      <c r="AD41" s="166"/>
      <c r="AE41" s="166"/>
      <c r="AF41" s="168"/>
      <c r="AG41" s="165">
        <v>83</v>
      </c>
      <c r="AH41" s="166"/>
      <c r="AI41" s="168"/>
      <c r="AJ41" s="175">
        <f t="shared" si="1"/>
        <v>82.5</v>
      </c>
      <c r="AK41" s="176"/>
      <c r="AL41" s="176"/>
      <c r="AM41" s="176"/>
      <c r="AN41" s="176"/>
      <c r="AO41" s="177"/>
      <c r="AP41" s="100" t="s">
        <v>88</v>
      </c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1"/>
    </row>
    <row r="42" spans="2:55" x14ac:dyDescent="0.25">
      <c r="B42" s="169" t="s">
        <v>6</v>
      </c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1"/>
      <c r="U42" s="165">
        <v>84</v>
      </c>
      <c r="V42" s="166"/>
      <c r="W42" s="166"/>
      <c r="X42" s="168"/>
      <c r="Y42" s="165">
        <v>78</v>
      </c>
      <c r="Z42" s="166"/>
      <c r="AA42" s="166"/>
      <c r="AB42" s="168"/>
      <c r="AC42" s="165">
        <v>84</v>
      </c>
      <c r="AD42" s="166"/>
      <c r="AE42" s="166"/>
      <c r="AF42" s="168"/>
      <c r="AG42" s="165">
        <v>81</v>
      </c>
      <c r="AH42" s="166"/>
      <c r="AI42" s="168"/>
      <c r="AJ42" s="175">
        <f t="shared" si="1"/>
        <v>81.75</v>
      </c>
      <c r="AK42" s="176"/>
      <c r="AL42" s="176"/>
      <c r="AM42" s="176"/>
      <c r="AN42" s="176"/>
      <c r="AO42" s="177"/>
      <c r="AP42" s="100" t="s">
        <v>88</v>
      </c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1"/>
    </row>
    <row r="43" spans="2:55" x14ac:dyDescent="0.25">
      <c r="B43" s="169" t="s">
        <v>7</v>
      </c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1"/>
      <c r="U43" s="165">
        <v>83</v>
      </c>
      <c r="V43" s="166"/>
      <c r="W43" s="166"/>
      <c r="X43" s="168"/>
      <c r="Y43" s="165">
        <v>81</v>
      </c>
      <c r="Z43" s="166"/>
      <c r="AA43" s="166"/>
      <c r="AB43" s="168"/>
      <c r="AC43" s="165">
        <v>83</v>
      </c>
      <c r="AD43" s="166"/>
      <c r="AE43" s="166"/>
      <c r="AF43" s="168"/>
      <c r="AG43" s="165">
        <v>83</v>
      </c>
      <c r="AH43" s="166"/>
      <c r="AI43" s="168"/>
      <c r="AJ43" s="175">
        <f t="shared" si="1"/>
        <v>82.5</v>
      </c>
      <c r="AK43" s="176"/>
      <c r="AL43" s="176"/>
      <c r="AM43" s="176"/>
      <c r="AN43" s="176"/>
      <c r="AO43" s="177"/>
      <c r="AP43" s="100" t="s">
        <v>88</v>
      </c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1"/>
    </row>
    <row r="44" spans="2:55" ht="16.5" customHeight="1" x14ac:dyDescent="0.25">
      <c r="B44" s="172" t="s">
        <v>58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4"/>
      <c r="U44" s="165">
        <v>87</v>
      </c>
      <c r="V44" s="166"/>
      <c r="W44" s="166"/>
      <c r="X44" s="168"/>
      <c r="Y44" s="165">
        <v>81</v>
      </c>
      <c r="Z44" s="166"/>
      <c r="AA44" s="166"/>
      <c r="AB44" s="168"/>
      <c r="AC44" s="165">
        <v>79</v>
      </c>
      <c r="AD44" s="166"/>
      <c r="AE44" s="166"/>
      <c r="AF44" s="168"/>
      <c r="AG44" s="165">
        <v>81</v>
      </c>
      <c r="AH44" s="166"/>
      <c r="AI44" s="168"/>
      <c r="AJ44" s="175">
        <f t="shared" si="1"/>
        <v>82</v>
      </c>
      <c r="AK44" s="176"/>
      <c r="AL44" s="176"/>
      <c r="AM44" s="176"/>
      <c r="AN44" s="176"/>
      <c r="AO44" s="177"/>
      <c r="AP44" s="100" t="s">
        <v>88</v>
      </c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1"/>
    </row>
    <row r="45" spans="2:55" x14ac:dyDescent="0.25">
      <c r="B45" s="172" t="s">
        <v>59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4"/>
      <c r="U45" s="165">
        <v>81</v>
      </c>
      <c r="V45" s="166"/>
      <c r="W45" s="166"/>
      <c r="X45" s="168"/>
      <c r="Y45" s="165">
        <v>79</v>
      </c>
      <c r="Z45" s="166"/>
      <c r="AA45" s="166"/>
      <c r="AB45" s="168"/>
      <c r="AC45" s="165">
        <v>81</v>
      </c>
      <c r="AD45" s="166"/>
      <c r="AE45" s="166"/>
      <c r="AF45" s="168"/>
      <c r="AG45" s="165">
        <v>79</v>
      </c>
      <c r="AH45" s="166"/>
      <c r="AI45" s="168"/>
      <c r="AJ45" s="175">
        <f t="shared" si="1"/>
        <v>80</v>
      </c>
      <c r="AK45" s="176"/>
      <c r="AL45" s="176"/>
      <c r="AM45" s="176"/>
      <c r="AN45" s="176"/>
      <c r="AO45" s="177"/>
      <c r="AP45" s="100" t="s">
        <v>88</v>
      </c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1"/>
    </row>
    <row r="46" spans="2:55" x14ac:dyDescent="0.25">
      <c r="B46" s="172" t="s">
        <v>60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4"/>
      <c r="U46" s="165">
        <v>83</v>
      </c>
      <c r="V46" s="166"/>
      <c r="W46" s="166"/>
      <c r="X46" s="168"/>
      <c r="Y46" s="165">
        <v>82</v>
      </c>
      <c r="Z46" s="166"/>
      <c r="AA46" s="166"/>
      <c r="AB46" s="168"/>
      <c r="AC46" s="165">
        <v>90</v>
      </c>
      <c r="AD46" s="166"/>
      <c r="AE46" s="166"/>
      <c r="AF46" s="168"/>
      <c r="AG46" s="165">
        <v>90</v>
      </c>
      <c r="AH46" s="166"/>
      <c r="AI46" s="168"/>
      <c r="AJ46" s="175">
        <f t="shared" si="1"/>
        <v>86.25</v>
      </c>
      <c r="AK46" s="176"/>
      <c r="AL46" s="176"/>
      <c r="AM46" s="176"/>
      <c r="AN46" s="176"/>
      <c r="AO46" s="177"/>
      <c r="AP46" s="100" t="s">
        <v>88</v>
      </c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1"/>
    </row>
    <row r="47" spans="2:55" x14ac:dyDescent="0.25">
      <c r="B47" s="172" t="s">
        <v>61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4"/>
      <c r="U47" s="165">
        <v>79</v>
      </c>
      <c r="V47" s="166"/>
      <c r="W47" s="166"/>
      <c r="X47" s="168"/>
      <c r="Y47" s="165">
        <v>80</v>
      </c>
      <c r="Z47" s="166"/>
      <c r="AA47" s="166"/>
      <c r="AB47" s="168"/>
      <c r="AC47" s="165">
        <v>81</v>
      </c>
      <c r="AD47" s="166"/>
      <c r="AE47" s="166"/>
      <c r="AF47" s="168"/>
      <c r="AG47" s="165">
        <v>82</v>
      </c>
      <c r="AH47" s="166"/>
      <c r="AI47" s="168"/>
      <c r="AJ47" s="175">
        <f t="shared" si="1"/>
        <v>80.5</v>
      </c>
      <c r="AK47" s="176"/>
      <c r="AL47" s="176"/>
      <c r="AM47" s="176"/>
      <c r="AN47" s="176"/>
      <c r="AO47" s="177"/>
      <c r="AP47" s="100" t="s">
        <v>88</v>
      </c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1"/>
    </row>
    <row r="48" spans="2:55" x14ac:dyDescent="0.25">
      <c r="B48" s="169" t="s">
        <v>90</v>
      </c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1"/>
      <c r="U48" s="165"/>
      <c r="V48" s="166"/>
      <c r="W48" s="166"/>
      <c r="X48" s="168"/>
      <c r="Y48" s="165"/>
      <c r="Z48" s="166"/>
      <c r="AA48" s="166"/>
      <c r="AB48" s="168"/>
      <c r="AC48" s="165"/>
      <c r="AD48" s="166"/>
      <c r="AE48" s="166"/>
      <c r="AF48" s="168"/>
      <c r="AG48" s="165"/>
      <c r="AH48" s="166"/>
      <c r="AI48" s="168"/>
      <c r="AJ48" s="165"/>
      <c r="AK48" s="166"/>
      <c r="AL48" s="166"/>
      <c r="AM48" s="166"/>
      <c r="AN48" s="166"/>
      <c r="AO48" s="168"/>
      <c r="AP48" s="165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7"/>
    </row>
    <row r="49" spans="2:56" x14ac:dyDescent="0.25">
      <c r="B49" s="156" t="s">
        <v>91</v>
      </c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8"/>
      <c r="U49" s="165"/>
      <c r="V49" s="166"/>
      <c r="W49" s="166"/>
      <c r="X49" s="168"/>
      <c r="Y49" s="165"/>
      <c r="Z49" s="166"/>
      <c r="AA49" s="166"/>
      <c r="AB49" s="168"/>
      <c r="AC49" s="165"/>
      <c r="AD49" s="166"/>
      <c r="AE49" s="166"/>
      <c r="AF49" s="168"/>
      <c r="AG49" s="165"/>
      <c r="AH49" s="166"/>
      <c r="AI49" s="168"/>
      <c r="AJ49" s="165"/>
      <c r="AK49" s="166"/>
      <c r="AL49" s="166"/>
      <c r="AM49" s="166"/>
      <c r="AN49" s="166"/>
      <c r="AO49" s="168"/>
      <c r="AP49" s="165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7"/>
    </row>
    <row r="50" spans="2:56" x14ac:dyDescent="0.25">
      <c r="B50" s="156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8"/>
      <c r="U50" s="159" t="s">
        <v>9</v>
      </c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1"/>
      <c r="AJ50" s="162">
        <f>AVERAGE(AJ36:AO43)</f>
        <v>83.0625</v>
      </c>
      <c r="AK50" s="89"/>
      <c r="AL50" s="89"/>
      <c r="AM50" s="89"/>
      <c r="AN50" s="89"/>
      <c r="AO50" s="90"/>
      <c r="AP50" s="64" t="s">
        <v>89</v>
      </c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6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67" t="s">
        <v>15</v>
      </c>
      <c r="C52" s="68"/>
      <c r="D52" s="68"/>
      <c r="E52" s="68"/>
      <c r="F52" s="68"/>
      <c r="G52" s="68"/>
      <c r="H52" s="68"/>
      <c r="I52" s="68"/>
      <c r="J52" s="68"/>
      <c r="K52" s="163"/>
      <c r="L52" s="164" t="s">
        <v>64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65"/>
      <c r="Y52" s="65"/>
      <c r="Z52" s="65"/>
      <c r="AA52" s="65"/>
      <c r="AB52" s="65"/>
      <c r="AC52" s="65"/>
      <c r="AD52" s="65"/>
      <c r="AE52" s="65"/>
      <c r="AF52" s="65"/>
      <c r="AG52" s="72" t="s">
        <v>66</v>
      </c>
      <c r="AH52" s="72"/>
      <c r="AI52" s="72"/>
      <c r="AJ52" s="72"/>
      <c r="AK52" s="72"/>
      <c r="AL52" s="65"/>
      <c r="AM52" s="65"/>
      <c r="AN52" s="65"/>
      <c r="AO52" s="65"/>
      <c r="AP52" s="65"/>
      <c r="AQ52" s="65"/>
      <c r="AR52" s="65"/>
      <c r="AS52" s="65"/>
      <c r="AT52" s="65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37" t="s">
        <v>27</v>
      </c>
      <c r="C54" s="138"/>
      <c r="D54" s="138"/>
      <c r="E54" s="138"/>
      <c r="F54" s="138"/>
      <c r="G54" s="138"/>
      <c r="H54" s="138"/>
      <c r="I54" s="138"/>
      <c r="J54" s="138"/>
      <c r="K54" s="139"/>
      <c r="L54" s="143" t="s">
        <v>10</v>
      </c>
      <c r="M54" s="138"/>
      <c r="N54" s="138"/>
      <c r="O54" s="138"/>
      <c r="P54" s="138"/>
      <c r="Q54" s="138"/>
      <c r="R54" s="138"/>
      <c r="S54" s="138"/>
      <c r="T54" s="139"/>
      <c r="U54" s="143" t="s">
        <v>11</v>
      </c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9"/>
      <c r="AH54" s="145" t="s">
        <v>63</v>
      </c>
      <c r="AI54" s="146"/>
      <c r="AJ54" s="146"/>
      <c r="AK54" s="146"/>
      <c r="AL54" s="146"/>
      <c r="AM54" s="146"/>
      <c r="AN54" s="146"/>
      <c r="AO54" s="147"/>
      <c r="AP54" s="143" t="s">
        <v>12</v>
      </c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51"/>
    </row>
    <row r="55" spans="2:56" x14ac:dyDescent="0.25">
      <c r="B55" s="140"/>
      <c r="C55" s="141"/>
      <c r="D55" s="141"/>
      <c r="E55" s="141"/>
      <c r="F55" s="141"/>
      <c r="G55" s="141"/>
      <c r="H55" s="141"/>
      <c r="I55" s="141"/>
      <c r="J55" s="141"/>
      <c r="K55" s="142"/>
      <c r="L55" s="144"/>
      <c r="M55" s="141"/>
      <c r="N55" s="141"/>
      <c r="O55" s="141"/>
      <c r="P55" s="141"/>
      <c r="Q55" s="141"/>
      <c r="R55" s="141"/>
      <c r="S55" s="141"/>
      <c r="T55" s="142"/>
      <c r="U55" s="144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2"/>
      <c r="AH55" s="148"/>
      <c r="AI55" s="149"/>
      <c r="AJ55" s="149"/>
      <c r="AK55" s="149"/>
      <c r="AL55" s="149"/>
      <c r="AM55" s="149"/>
      <c r="AN55" s="149"/>
      <c r="AO55" s="150"/>
      <c r="AP55" s="144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52"/>
    </row>
    <row r="56" spans="2:56" x14ac:dyDescent="0.25">
      <c r="B56" s="153"/>
      <c r="C56" s="65"/>
      <c r="D56" s="65"/>
      <c r="E56" s="65"/>
      <c r="F56" s="65"/>
      <c r="G56" s="65"/>
      <c r="H56" s="65"/>
      <c r="I56" s="65"/>
      <c r="J56" s="65"/>
      <c r="K56" s="154"/>
      <c r="L56" s="64"/>
      <c r="M56" s="65"/>
      <c r="N56" s="65"/>
      <c r="O56" s="65"/>
      <c r="P56" s="65"/>
      <c r="Q56" s="65"/>
      <c r="R56" s="65"/>
      <c r="S56" s="65"/>
      <c r="T56" s="154"/>
      <c r="U56" s="64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154"/>
      <c r="AH56" s="64"/>
      <c r="AI56" s="65"/>
      <c r="AJ56" s="65"/>
      <c r="AK56" s="65"/>
      <c r="AL56" s="65"/>
      <c r="AM56" s="65"/>
      <c r="AN56" s="65"/>
      <c r="AO56" s="154"/>
      <c r="AP56" s="64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6"/>
    </row>
    <row r="57" spans="2:56" ht="14.4" thickBot="1" x14ac:dyDescent="0.3">
      <c r="B57" s="132"/>
      <c r="C57" s="133"/>
      <c r="D57" s="133"/>
      <c r="E57" s="133"/>
      <c r="F57" s="133"/>
      <c r="G57" s="133"/>
      <c r="H57" s="133"/>
      <c r="I57" s="133"/>
      <c r="J57" s="133"/>
      <c r="K57" s="134"/>
      <c r="L57" s="135"/>
      <c r="M57" s="133"/>
      <c r="N57" s="133"/>
      <c r="O57" s="133"/>
      <c r="P57" s="133"/>
      <c r="Q57" s="133"/>
      <c r="R57" s="133"/>
      <c r="S57" s="133"/>
      <c r="T57" s="134"/>
      <c r="U57" s="135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4"/>
      <c r="AH57" s="135"/>
      <c r="AI57" s="133"/>
      <c r="AJ57" s="133"/>
      <c r="AK57" s="133"/>
      <c r="AL57" s="133"/>
      <c r="AM57" s="133"/>
      <c r="AN57" s="133"/>
      <c r="AO57" s="134"/>
      <c r="AP57" s="135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6"/>
    </row>
    <row r="58" spans="2:56" s="13" customFormat="1" ht="4.5" customHeight="1" thickBot="1" x14ac:dyDescent="0.3"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</row>
    <row r="59" spans="2:56" s="13" customFormat="1" x14ac:dyDescent="0.25">
      <c r="B59" s="94" t="s">
        <v>42</v>
      </c>
      <c r="C59" s="95"/>
      <c r="D59" s="9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91" t="s">
        <v>28</v>
      </c>
      <c r="R59" s="91"/>
      <c r="S59" s="91"/>
      <c r="T59" s="91"/>
      <c r="U59" s="155"/>
      <c r="V59" s="155"/>
      <c r="W59" s="155"/>
      <c r="X59" s="155"/>
      <c r="Y59" s="155"/>
      <c r="Z59" s="155"/>
      <c r="AA59" s="91" t="s">
        <v>41</v>
      </c>
      <c r="AB59" s="91"/>
      <c r="AC59" s="91"/>
      <c r="AD59" s="155"/>
      <c r="AE59" s="155"/>
      <c r="AF59" s="155"/>
      <c r="AG59" s="155"/>
      <c r="AH59" s="155"/>
      <c r="AI59" s="155"/>
      <c r="AJ59" s="155"/>
      <c r="AK59" s="155"/>
      <c r="AL59" s="155"/>
      <c r="AM59" s="95" t="s">
        <v>40</v>
      </c>
      <c r="AN59" s="95"/>
      <c r="AO59" s="95"/>
      <c r="AP59" s="155"/>
      <c r="AQ59" s="155"/>
      <c r="AR59" s="155"/>
      <c r="AS59" s="155"/>
      <c r="AT59" s="155"/>
      <c r="AU59" s="155"/>
      <c r="AV59" s="155"/>
      <c r="AW59" s="155"/>
      <c r="AX59" s="155"/>
      <c r="AY59" s="91" t="s">
        <v>55</v>
      </c>
      <c r="AZ59" s="91"/>
      <c r="BA59" s="91"/>
      <c r="BB59" s="155"/>
      <c r="BC59" s="181"/>
    </row>
    <row r="60" spans="2:56" s="13" customFormat="1" x14ac:dyDescent="0.25">
      <c r="B60" s="93" t="s">
        <v>47</v>
      </c>
      <c r="C60" s="74"/>
      <c r="D60" s="74"/>
      <c r="E60" s="74"/>
      <c r="F60" s="74"/>
      <c r="G60" s="74"/>
      <c r="H60" s="74"/>
      <c r="I60" s="65"/>
      <c r="J60" s="65"/>
      <c r="K60" s="96" t="s">
        <v>46</v>
      </c>
      <c r="L60" s="96"/>
      <c r="M60" s="96"/>
      <c r="N60" s="98"/>
      <c r="O60" s="98"/>
      <c r="P60" s="98"/>
      <c r="Q60" s="98"/>
      <c r="R60" s="97" t="s">
        <v>45</v>
      </c>
      <c r="S60" s="97"/>
      <c r="T60" s="97"/>
      <c r="U60" s="97"/>
      <c r="V60" s="65"/>
      <c r="W60" s="65"/>
      <c r="X60" s="65"/>
      <c r="Y60" s="65"/>
      <c r="Z60" s="65"/>
      <c r="AA60" s="75" t="s">
        <v>44</v>
      </c>
      <c r="AB60" s="75"/>
      <c r="AC60" s="75"/>
      <c r="AD60" s="75"/>
      <c r="AE60" s="75"/>
      <c r="AF60" s="75"/>
      <c r="AG60" s="75"/>
      <c r="AH60" s="75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76" t="s">
        <v>43</v>
      </c>
      <c r="AT60" s="76"/>
      <c r="AU60" s="76"/>
      <c r="AV60" s="76"/>
      <c r="AW60" s="98"/>
      <c r="AX60" s="98"/>
      <c r="AY60" s="98"/>
      <c r="AZ60" s="98"/>
      <c r="BA60" s="98"/>
      <c r="BB60" s="98"/>
      <c r="BC60" s="99"/>
    </row>
    <row r="61" spans="2:56" s="13" customFormat="1" ht="2.25" customHeight="1" x14ac:dyDescent="0.25"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1"/>
    </row>
    <row r="62" spans="2:56" s="13" customFormat="1" ht="16.5" customHeight="1" x14ac:dyDescent="0.25">
      <c r="B62" s="137" t="s">
        <v>26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9"/>
      <c r="U62" s="178" t="s">
        <v>29</v>
      </c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90"/>
      <c r="AJ62" s="145" t="s">
        <v>62</v>
      </c>
      <c r="AK62" s="146"/>
      <c r="AL62" s="146"/>
      <c r="AM62" s="146"/>
      <c r="AN62" s="146"/>
      <c r="AO62" s="147"/>
      <c r="AP62" s="143" t="s">
        <v>8</v>
      </c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51"/>
    </row>
    <row r="63" spans="2:56" s="13" customFormat="1" x14ac:dyDescent="0.25">
      <c r="B63" s="140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2"/>
      <c r="U63" s="178">
        <v>1</v>
      </c>
      <c r="V63" s="89"/>
      <c r="W63" s="89"/>
      <c r="X63" s="90"/>
      <c r="Y63" s="178">
        <v>2</v>
      </c>
      <c r="Z63" s="89"/>
      <c r="AA63" s="89"/>
      <c r="AB63" s="90"/>
      <c r="AC63" s="178">
        <v>3</v>
      </c>
      <c r="AD63" s="89"/>
      <c r="AE63" s="89"/>
      <c r="AF63" s="90"/>
      <c r="AG63" s="178">
        <v>4</v>
      </c>
      <c r="AH63" s="89"/>
      <c r="AI63" s="90"/>
      <c r="AJ63" s="148"/>
      <c r="AK63" s="149"/>
      <c r="AL63" s="149"/>
      <c r="AM63" s="149"/>
      <c r="AN63" s="149"/>
      <c r="AO63" s="150"/>
      <c r="AP63" s="144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52"/>
    </row>
    <row r="64" spans="2:56" s="13" customFormat="1" x14ac:dyDescent="0.25">
      <c r="B64" s="169" t="s">
        <v>1</v>
      </c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1"/>
      <c r="U64" s="165"/>
      <c r="V64" s="166"/>
      <c r="W64" s="166"/>
      <c r="X64" s="168"/>
      <c r="Y64" s="165"/>
      <c r="Z64" s="166"/>
      <c r="AA64" s="166"/>
      <c r="AB64" s="168"/>
      <c r="AC64" s="165"/>
      <c r="AD64" s="166"/>
      <c r="AE64" s="166"/>
      <c r="AF64" s="168"/>
      <c r="AG64" s="165"/>
      <c r="AH64" s="166"/>
      <c r="AI64" s="168"/>
      <c r="AJ64" s="165"/>
      <c r="AK64" s="166"/>
      <c r="AL64" s="166"/>
      <c r="AM64" s="166"/>
      <c r="AN64" s="166"/>
      <c r="AO64" s="168"/>
      <c r="AP64" s="165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7"/>
    </row>
    <row r="65" spans="2:55" s="13" customFormat="1" x14ac:dyDescent="0.25">
      <c r="B65" s="169" t="s">
        <v>2</v>
      </c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1"/>
      <c r="U65" s="165"/>
      <c r="V65" s="166"/>
      <c r="W65" s="166"/>
      <c r="X65" s="168"/>
      <c r="Y65" s="165"/>
      <c r="Z65" s="166"/>
      <c r="AA65" s="166"/>
      <c r="AB65" s="168"/>
      <c r="AC65" s="165"/>
      <c r="AD65" s="166"/>
      <c r="AE65" s="166"/>
      <c r="AF65" s="168"/>
      <c r="AG65" s="165"/>
      <c r="AH65" s="166"/>
      <c r="AI65" s="168"/>
      <c r="AJ65" s="165"/>
      <c r="AK65" s="166"/>
      <c r="AL65" s="166"/>
      <c r="AM65" s="166"/>
      <c r="AN65" s="166"/>
      <c r="AO65" s="168"/>
      <c r="AP65" s="165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7"/>
    </row>
    <row r="66" spans="2:55" s="13" customFormat="1" x14ac:dyDescent="0.25">
      <c r="B66" s="169" t="s">
        <v>3</v>
      </c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1"/>
      <c r="U66" s="165"/>
      <c r="V66" s="166"/>
      <c r="W66" s="166"/>
      <c r="X66" s="168"/>
      <c r="Y66" s="165"/>
      <c r="Z66" s="166"/>
      <c r="AA66" s="166"/>
      <c r="AB66" s="168"/>
      <c r="AC66" s="165"/>
      <c r="AD66" s="166"/>
      <c r="AE66" s="166"/>
      <c r="AF66" s="168"/>
      <c r="AG66" s="165"/>
      <c r="AH66" s="166"/>
      <c r="AI66" s="168"/>
      <c r="AJ66" s="165"/>
      <c r="AK66" s="166"/>
      <c r="AL66" s="166"/>
      <c r="AM66" s="166"/>
      <c r="AN66" s="166"/>
      <c r="AO66" s="168"/>
      <c r="AP66" s="165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7"/>
    </row>
    <row r="67" spans="2:55" s="13" customFormat="1" x14ac:dyDescent="0.25">
      <c r="B67" s="169" t="s">
        <v>57</v>
      </c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1"/>
      <c r="U67" s="165"/>
      <c r="V67" s="166"/>
      <c r="W67" s="166"/>
      <c r="X67" s="168"/>
      <c r="Y67" s="165"/>
      <c r="Z67" s="166"/>
      <c r="AA67" s="166"/>
      <c r="AB67" s="168"/>
      <c r="AC67" s="165"/>
      <c r="AD67" s="166"/>
      <c r="AE67" s="166"/>
      <c r="AF67" s="168"/>
      <c r="AG67" s="165"/>
      <c r="AH67" s="166"/>
      <c r="AI67" s="168"/>
      <c r="AJ67" s="165"/>
      <c r="AK67" s="166"/>
      <c r="AL67" s="166"/>
      <c r="AM67" s="166"/>
      <c r="AN67" s="166"/>
      <c r="AO67" s="168"/>
      <c r="AP67" s="165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7"/>
    </row>
    <row r="68" spans="2:55" s="13" customFormat="1" x14ac:dyDescent="0.25">
      <c r="B68" s="169" t="s">
        <v>4</v>
      </c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1"/>
      <c r="U68" s="165"/>
      <c r="V68" s="166"/>
      <c r="W68" s="166"/>
      <c r="X68" s="168"/>
      <c r="Y68" s="165"/>
      <c r="Z68" s="166"/>
      <c r="AA68" s="166"/>
      <c r="AB68" s="168"/>
      <c r="AC68" s="165"/>
      <c r="AD68" s="166"/>
      <c r="AE68" s="166"/>
      <c r="AF68" s="168"/>
      <c r="AG68" s="165"/>
      <c r="AH68" s="166"/>
      <c r="AI68" s="168"/>
      <c r="AJ68" s="165"/>
      <c r="AK68" s="166"/>
      <c r="AL68" s="166"/>
      <c r="AM68" s="166"/>
      <c r="AN68" s="166"/>
      <c r="AO68" s="168"/>
      <c r="AP68" s="165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7"/>
    </row>
    <row r="69" spans="2:55" s="13" customFormat="1" x14ac:dyDescent="0.25">
      <c r="B69" s="169" t="s">
        <v>5</v>
      </c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1"/>
      <c r="U69" s="165"/>
      <c r="V69" s="166"/>
      <c r="W69" s="166"/>
      <c r="X69" s="168"/>
      <c r="Y69" s="165"/>
      <c r="Z69" s="166"/>
      <c r="AA69" s="166"/>
      <c r="AB69" s="168"/>
      <c r="AC69" s="165"/>
      <c r="AD69" s="166"/>
      <c r="AE69" s="166"/>
      <c r="AF69" s="168"/>
      <c r="AG69" s="165"/>
      <c r="AH69" s="166"/>
      <c r="AI69" s="168"/>
      <c r="AJ69" s="165"/>
      <c r="AK69" s="166"/>
      <c r="AL69" s="166"/>
      <c r="AM69" s="166"/>
      <c r="AN69" s="166"/>
      <c r="AO69" s="168"/>
      <c r="AP69" s="165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7"/>
    </row>
    <row r="70" spans="2:55" s="13" customFormat="1" x14ac:dyDescent="0.25">
      <c r="B70" s="169" t="s">
        <v>6</v>
      </c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1"/>
      <c r="U70" s="165"/>
      <c r="V70" s="166"/>
      <c r="W70" s="166"/>
      <c r="X70" s="168"/>
      <c r="Y70" s="165"/>
      <c r="Z70" s="166"/>
      <c r="AA70" s="166"/>
      <c r="AB70" s="168"/>
      <c r="AC70" s="165"/>
      <c r="AD70" s="166"/>
      <c r="AE70" s="166"/>
      <c r="AF70" s="168"/>
      <c r="AG70" s="165"/>
      <c r="AH70" s="166"/>
      <c r="AI70" s="168"/>
      <c r="AJ70" s="165"/>
      <c r="AK70" s="166"/>
      <c r="AL70" s="166"/>
      <c r="AM70" s="166"/>
      <c r="AN70" s="166"/>
      <c r="AO70" s="168"/>
      <c r="AP70" s="165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7"/>
    </row>
    <row r="71" spans="2:55" s="13" customFormat="1" x14ac:dyDescent="0.25">
      <c r="B71" s="169" t="s">
        <v>7</v>
      </c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1"/>
      <c r="U71" s="165"/>
      <c r="V71" s="166"/>
      <c r="W71" s="166"/>
      <c r="X71" s="168"/>
      <c r="Y71" s="165"/>
      <c r="Z71" s="166"/>
      <c r="AA71" s="166"/>
      <c r="AB71" s="168"/>
      <c r="AC71" s="165"/>
      <c r="AD71" s="166"/>
      <c r="AE71" s="166"/>
      <c r="AF71" s="168"/>
      <c r="AG71" s="165"/>
      <c r="AH71" s="166"/>
      <c r="AI71" s="168"/>
      <c r="AJ71" s="165"/>
      <c r="AK71" s="166"/>
      <c r="AL71" s="166"/>
      <c r="AM71" s="166"/>
      <c r="AN71" s="166"/>
      <c r="AO71" s="168"/>
      <c r="AP71" s="165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7"/>
    </row>
    <row r="72" spans="2:55" s="13" customFormat="1" ht="16.5" customHeight="1" x14ac:dyDescent="0.25">
      <c r="B72" s="172" t="s">
        <v>58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4"/>
      <c r="U72" s="165"/>
      <c r="V72" s="166"/>
      <c r="W72" s="166"/>
      <c r="X72" s="168"/>
      <c r="Y72" s="165"/>
      <c r="Z72" s="166"/>
      <c r="AA72" s="166"/>
      <c r="AB72" s="168"/>
      <c r="AC72" s="165"/>
      <c r="AD72" s="166"/>
      <c r="AE72" s="166"/>
      <c r="AF72" s="168"/>
      <c r="AG72" s="165"/>
      <c r="AH72" s="166"/>
      <c r="AI72" s="168"/>
      <c r="AJ72" s="165"/>
      <c r="AK72" s="166"/>
      <c r="AL72" s="166"/>
      <c r="AM72" s="166"/>
      <c r="AN72" s="166"/>
      <c r="AO72" s="168"/>
      <c r="AP72" s="165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7"/>
    </row>
    <row r="73" spans="2:55" s="13" customFormat="1" x14ac:dyDescent="0.25">
      <c r="B73" s="172" t="s">
        <v>59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4"/>
      <c r="U73" s="165"/>
      <c r="V73" s="166"/>
      <c r="W73" s="166"/>
      <c r="X73" s="168"/>
      <c r="Y73" s="165"/>
      <c r="Z73" s="166"/>
      <c r="AA73" s="166"/>
      <c r="AB73" s="168"/>
      <c r="AC73" s="165"/>
      <c r="AD73" s="166"/>
      <c r="AE73" s="166"/>
      <c r="AF73" s="168"/>
      <c r="AG73" s="165"/>
      <c r="AH73" s="166"/>
      <c r="AI73" s="168"/>
      <c r="AJ73" s="165"/>
      <c r="AK73" s="166"/>
      <c r="AL73" s="166"/>
      <c r="AM73" s="166"/>
      <c r="AN73" s="166"/>
      <c r="AO73" s="168"/>
      <c r="AP73" s="165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7"/>
    </row>
    <row r="74" spans="2:55" s="13" customFormat="1" x14ac:dyDescent="0.25">
      <c r="B74" s="172" t="s">
        <v>60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4"/>
      <c r="U74" s="165"/>
      <c r="V74" s="166"/>
      <c r="W74" s="166"/>
      <c r="X74" s="168"/>
      <c r="Y74" s="165"/>
      <c r="Z74" s="166"/>
      <c r="AA74" s="166"/>
      <c r="AB74" s="168"/>
      <c r="AC74" s="165"/>
      <c r="AD74" s="166"/>
      <c r="AE74" s="166"/>
      <c r="AF74" s="168"/>
      <c r="AG74" s="165"/>
      <c r="AH74" s="166"/>
      <c r="AI74" s="168"/>
      <c r="AJ74" s="165"/>
      <c r="AK74" s="166"/>
      <c r="AL74" s="166"/>
      <c r="AM74" s="166"/>
      <c r="AN74" s="166"/>
      <c r="AO74" s="168"/>
      <c r="AP74" s="165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7"/>
    </row>
    <row r="75" spans="2:55" s="13" customFormat="1" x14ac:dyDescent="0.25">
      <c r="B75" s="172" t="s">
        <v>61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4"/>
      <c r="U75" s="165"/>
      <c r="V75" s="166"/>
      <c r="W75" s="166"/>
      <c r="X75" s="168"/>
      <c r="Y75" s="165"/>
      <c r="Z75" s="166"/>
      <c r="AA75" s="166"/>
      <c r="AB75" s="168"/>
      <c r="AC75" s="165"/>
      <c r="AD75" s="166"/>
      <c r="AE75" s="166"/>
      <c r="AF75" s="168"/>
      <c r="AG75" s="165"/>
      <c r="AH75" s="166"/>
      <c r="AI75" s="168"/>
      <c r="AJ75" s="165"/>
      <c r="AK75" s="166"/>
      <c r="AL75" s="166"/>
      <c r="AM75" s="166"/>
      <c r="AN75" s="166"/>
      <c r="AO75" s="168"/>
      <c r="AP75" s="165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7"/>
    </row>
    <row r="76" spans="2:55" s="13" customFormat="1" x14ac:dyDescent="0.25">
      <c r="B76" s="169" t="s">
        <v>90</v>
      </c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1"/>
      <c r="U76" s="165"/>
      <c r="V76" s="166"/>
      <c r="W76" s="166"/>
      <c r="X76" s="168"/>
      <c r="Y76" s="165"/>
      <c r="Z76" s="166"/>
      <c r="AA76" s="166"/>
      <c r="AB76" s="168"/>
      <c r="AC76" s="165"/>
      <c r="AD76" s="166"/>
      <c r="AE76" s="166"/>
      <c r="AF76" s="168"/>
      <c r="AG76" s="165"/>
      <c r="AH76" s="166"/>
      <c r="AI76" s="168"/>
      <c r="AJ76" s="165"/>
      <c r="AK76" s="166"/>
      <c r="AL76" s="166"/>
      <c r="AM76" s="166"/>
      <c r="AN76" s="166"/>
      <c r="AO76" s="168"/>
      <c r="AP76" s="165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7"/>
    </row>
    <row r="77" spans="2:55" s="13" customFormat="1" x14ac:dyDescent="0.25">
      <c r="B77" s="156" t="s">
        <v>91</v>
      </c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8"/>
      <c r="U77" s="165"/>
      <c r="V77" s="166"/>
      <c r="W77" s="166"/>
      <c r="X77" s="168"/>
      <c r="Y77" s="165"/>
      <c r="Z77" s="166"/>
      <c r="AA77" s="166"/>
      <c r="AB77" s="168"/>
      <c r="AC77" s="165"/>
      <c r="AD77" s="166"/>
      <c r="AE77" s="166"/>
      <c r="AF77" s="168"/>
      <c r="AG77" s="165"/>
      <c r="AH77" s="166"/>
      <c r="AI77" s="168"/>
      <c r="AJ77" s="165"/>
      <c r="AK77" s="166"/>
      <c r="AL77" s="166"/>
      <c r="AM77" s="166"/>
      <c r="AN77" s="166"/>
      <c r="AO77" s="168"/>
      <c r="AP77" s="165"/>
      <c r="AQ77" s="166"/>
      <c r="AR77" s="166"/>
      <c r="AS77" s="166"/>
      <c r="AT77" s="166"/>
      <c r="AU77" s="166"/>
      <c r="AV77" s="166"/>
      <c r="AW77" s="166"/>
      <c r="AX77" s="166"/>
      <c r="AY77" s="166"/>
      <c r="AZ77" s="166"/>
      <c r="BA77" s="166"/>
      <c r="BB77" s="166"/>
      <c r="BC77" s="167"/>
    </row>
    <row r="78" spans="2:55" s="13" customFormat="1" x14ac:dyDescent="0.25">
      <c r="B78" s="156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8"/>
      <c r="U78" s="159" t="s">
        <v>9</v>
      </c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1"/>
      <c r="AJ78" s="182"/>
      <c r="AK78" s="157"/>
      <c r="AL78" s="157"/>
      <c r="AM78" s="157"/>
      <c r="AN78" s="157"/>
      <c r="AO78" s="158"/>
      <c r="AP78" s="182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83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67" t="s">
        <v>15</v>
      </c>
      <c r="C80" s="68"/>
      <c r="D80" s="68"/>
      <c r="E80" s="68"/>
      <c r="F80" s="68"/>
      <c r="G80" s="68"/>
      <c r="H80" s="68"/>
      <c r="I80" s="68"/>
      <c r="J80" s="68"/>
      <c r="K80" s="163"/>
      <c r="L80" s="164" t="s">
        <v>64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65"/>
      <c r="Y80" s="65"/>
      <c r="Z80" s="65"/>
      <c r="AA80" s="65"/>
      <c r="AB80" s="65"/>
      <c r="AC80" s="65"/>
      <c r="AD80" s="65"/>
      <c r="AE80" s="65"/>
      <c r="AF80" s="65"/>
      <c r="AG80" s="72" t="s">
        <v>66</v>
      </c>
      <c r="AH80" s="72"/>
      <c r="AI80" s="72"/>
      <c r="AJ80" s="72"/>
      <c r="AK80" s="72"/>
      <c r="AL80" s="65"/>
      <c r="AM80" s="65"/>
      <c r="AN80" s="65"/>
      <c r="AO80" s="65"/>
      <c r="AP80" s="65"/>
      <c r="AQ80" s="65"/>
      <c r="AR80" s="65"/>
      <c r="AS80" s="65"/>
      <c r="AT80" s="65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37" t="s">
        <v>27</v>
      </c>
      <c r="C82" s="138"/>
      <c r="D82" s="138"/>
      <c r="E82" s="138"/>
      <c r="F82" s="138"/>
      <c r="G82" s="138"/>
      <c r="H82" s="138"/>
      <c r="I82" s="138"/>
      <c r="J82" s="138"/>
      <c r="K82" s="139"/>
      <c r="L82" s="143" t="s">
        <v>10</v>
      </c>
      <c r="M82" s="138"/>
      <c r="N82" s="138"/>
      <c r="O82" s="138"/>
      <c r="P82" s="138"/>
      <c r="Q82" s="138"/>
      <c r="R82" s="138"/>
      <c r="S82" s="138"/>
      <c r="T82" s="139"/>
      <c r="U82" s="143" t="s">
        <v>11</v>
      </c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9"/>
      <c r="AH82" s="145" t="s">
        <v>63</v>
      </c>
      <c r="AI82" s="146"/>
      <c r="AJ82" s="146"/>
      <c r="AK82" s="146"/>
      <c r="AL82" s="146"/>
      <c r="AM82" s="146"/>
      <c r="AN82" s="146"/>
      <c r="AO82" s="147"/>
      <c r="AP82" s="143" t="s">
        <v>12</v>
      </c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51"/>
    </row>
    <row r="83" spans="2:56" s="13" customFormat="1" x14ac:dyDescent="0.25">
      <c r="B83" s="140"/>
      <c r="C83" s="141"/>
      <c r="D83" s="141"/>
      <c r="E83" s="141"/>
      <c r="F83" s="141"/>
      <c r="G83" s="141"/>
      <c r="H83" s="141"/>
      <c r="I83" s="141"/>
      <c r="J83" s="141"/>
      <c r="K83" s="142"/>
      <c r="L83" s="144"/>
      <c r="M83" s="141"/>
      <c r="N83" s="141"/>
      <c r="O83" s="141"/>
      <c r="P83" s="141"/>
      <c r="Q83" s="141"/>
      <c r="R83" s="141"/>
      <c r="S83" s="141"/>
      <c r="T83" s="142"/>
      <c r="U83" s="144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2"/>
      <c r="AH83" s="148"/>
      <c r="AI83" s="149"/>
      <c r="AJ83" s="149"/>
      <c r="AK83" s="149"/>
      <c r="AL83" s="149"/>
      <c r="AM83" s="149"/>
      <c r="AN83" s="149"/>
      <c r="AO83" s="150"/>
      <c r="AP83" s="144"/>
      <c r="AQ83" s="141"/>
      <c r="AR83" s="141"/>
      <c r="AS83" s="141"/>
      <c r="AT83" s="141"/>
      <c r="AU83" s="141"/>
      <c r="AV83" s="141"/>
      <c r="AW83" s="141"/>
      <c r="AX83" s="141"/>
      <c r="AY83" s="141"/>
      <c r="AZ83" s="141"/>
      <c r="BA83" s="141"/>
      <c r="BB83" s="141"/>
      <c r="BC83" s="152"/>
    </row>
    <row r="84" spans="2:56" s="13" customFormat="1" x14ac:dyDescent="0.25">
      <c r="B84" s="153"/>
      <c r="C84" s="65"/>
      <c r="D84" s="65"/>
      <c r="E84" s="65"/>
      <c r="F84" s="65"/>
      <c r="G84" s="65"/>
      <c r="H84" s="65"/>
      <c r="I84" s="65"/>
      <c r="J84" s="65"/>
      <c r="K84" s="154"/>
      <c r="L84" s="64"/>
      <c r="M84" s="65"/>
      <c r="N84" s="65"/>
      <c r="O84" s="65"/>
      <c r="P84" s="65"/>
      <c r="Q84" s="65"/>
      <c r="R84" s="65"/>
      <c r="S84" s="65"/>
      <c r="T84" s="154"/>
      <c r="U84" s="64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154"/>
      <c r="AH84" s="64"/>
      <c r="AI84" s="65"/>
      <c r="AJ84" s="65"/>
      <c r="AK84" s="65"/>
      <c r="AL84" s="65"/>
      <c r="AM84" s="65"/>
      <c r="AN84" s="65"/>
      <c r="AO84" s="154"/>
      <c r="AP84" s="64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6"/>
    </row>
    <row r="85" spans="2:56" s="13" customFormat="1" ht="14.4" thickBot="1" x14ac:dyDescent="0.3">
      <c r="B85" s="132"/>
      <c r="C85" s="133"/>
      <c r="D85" s="133"/>
      <c r="E85" s="133"/>
      <c r="F85" s="133"/>
      <c r="G85" s="133"/>
      <c r="H85" s="133"/>
      <c r="I85" s="133"/>
      <c r="J85" s="133"/>
      <c r="K85" s="134"/>
      <c r="L85" s="135"/>
      <c r="M85" s="133"/>
      <c r="N85" s="133"/>
      <c r="O85" s="133"/>
      <c r="P85" s="133"/>
      <c r="Q85" s="133"/>
      <c r="R85" s="133"/>
      <c r="S85" s="133"/>
      <c r="T85" s="134"/>
      <c r="U85" s="135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4"/>
      <c r="AH85" s="135"/>
      <c r="AI85" s="133"/>
      <c r="AJ85" s="133"/>
      <c r="AK85" s="133"/>
      <c r="AL85" s="133"/>
      <c r="AM85" s="133"/>
      <c r="AN85" s="133"/>
      <c r="AO85" s="134"/>
      <c r="AP85" s="135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6"/>
    </row>
    <row r="86" spans="2:56" ht="14.4" thickBot="1" x14ac:dyDescent="0.3">
      <c r="B86" s="10" t="s">
        <v>73</v>
      </c>
    </row>
    <row r="87" spans="2:56" ht="18.600000000000001" thickBot="1" x14ac:dyDescent="0.4">
      <c r="B87" s="115" t="s">
        <v>13</v>
      </c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7"/>
      <c r="BD87" s="23"/>
    </row>
    <row r="88" spans="2:56" x14ac:dyDescent="0.25">
      <c r="B88" s="128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30"/>
    </row>
    <row r="89" spans="2:56" x14ac:dyDescent="0.25">
      <c r="B89" s="93" t="s">
        <v>67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50" t="s">
        <v>111</v>
      </c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75" t="s">
        <v>68</v>
      </c>
      <c r="AC89" s="75"/>
      <c r="AD89" s="75"/>
      <c r="AE89" s="75"/>
      <c r="AF89" s="131" t="s">
        <v>112</v>
      </c>
      <c r="AG89" s="50"/>
      <c r="AH89" s="50"/>
      <c r="AI89" s="50"/>
      <c r="AJ89" s="50"/>
      <c r="AK89" s="50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50">
        <v>11</v>
      </c>
      <c r="BC89" s="51"/>
    </row>
    <row r="90" spans="2:56" x14ac:dyDescent="0.25">
      <c r="B90" s="93" t="s">
        <v>35</v>
      </c>
      <c r="C90" s="74"/>
      <c r="D90" s="74"/>
      <c r="E90" s="74"/>
      <c r="F90" s="74"/>
      <c r="G90" s="74"/>
      <c r="H90" s="50" t="s">
        <v>83</v>
      </c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74" t="s">
        <v>28</v>
      </c>
      <c r="Z90" s="74"/>
      <c r="AA90" s="74"/>
      <c r="AB90" s="74"/>
      <c r="AC90" s="50">
        <v>301860</v>
      </c>
      <c r="AD90" s="50"/>
      <c r="AE90" s="50"/>
      <c r="AF90" s="50"/>
      <c r="AG90" s="50"/>
      <c r="AH90" s="50"/>
      <c r="AI90" s="50"/>
      <c r="AJ90" s="74" t="s">
        <v>70</v>
      </c>
      <c r="AK90" s="74"/>
      <c r="AL90" s="74"/>
      <c r="AM90" s="74"/>
      <c r="AN90" s="74"/>
      <c r="AO90" s="74"/>
      <c r="AP90" s="74"/>
      <c r="AQ90" s="74"/>
      <c r="AR90" s="74"/>
      <c r="AS90" s="50" t="s">
        <v>109</v>
      </c>
      <c r="AT90" s="50"/>
      <c r="AU90" s="50"/>
      <c r="AV90" s="50"/>
      <c r="AW90" s="50"/>
      <c r="AX90" s="50"/>
      <c r="AY90" s="50"/>
      <c r="AZ90" s="50"/>
      <c r="BA90" s="50"/>
      <c r="BB90" s="50"/>
      <c r="BC90" s="51"/>
    </row>
    <row r="91" spans="2:56" x14ac:dyDescent="0.25">
      <c r="B91" s="123" t="s">
        <v>113</v>
      </c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46"/>
      <c r="Q91" s="46"/>
      <c r="R91" s="46"/>
      <c r="S91" s="124" t="s">
        <v>87</v>
      </c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126"/>
    </row>
    <row r="92" spans="2:56" x14ac:dyDescent="0.25">
      <c r="B92" s="123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47"/>
      <c r="Q92" s="47"/>
      <c r="R92" s="47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126"/>
    </row>
    <row r="93" spans="2:56" x14ac:dyDescent="0.25">
      <c r="B93" s="49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47"/>
      <c r="Q93" s="47"/>
      <c r="R93" s="47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126"/>
    </row>
    <row r="94" spans="2:56" x14ac:dyDescent="0.25">
      <c r="B94" s="127" t="s">
        <v>14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7"/>
      <c r="Q94" s="47"/>
      <c r="R94" s="47"/>
      <c r="S94" s="46" t="s">
        <v>71</v>
      </c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7"/>
      <c r="AM94" s="47"/>
      <c r="AN94" s="47"/>
      <c r="AO94" s="47"/>
      <c r="AP94" s="47"/>
      <c r="AQ94" s="47" t="s">
        <v>72</v>
      </c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126"/>
    </row>
    <row r="95" spans="2:56" x14ac:dyDescent="0.25">
      <c r="B95" s="35" t="s">
        <v>114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paperSize="14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2021-10-04T03:04:03Z</cp:lastPrinted>
  <dcterms:created xsi:type="dcterms:W3CDTF">2017-05-29T04:13:43Z</dcterms:created>
  <dcterms:modified xsi:type="dcterms:W3CDTF">2024-09-10T13:52:52Z</dcterms:modified>
  <cp:category>School Form 10 - Junior High School Permanent Record redesigned by Wedzmer B. Munjilul of the School Forms Review 2017</cp:category>
</cp:coreProperties>
</file>