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Requested SF 10\Requested SF-10 JHS\"/>
    </mc:Choice>
  </mc:AlternateContent>
  <xr:revisionPtr revIDLastSave="0" documentId="13_ncr:1_{555C4DAB-40AD-43AF-A0D0-544EE11A4F1E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Back!$B$1:$BD$98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6" i="3" l="1"/>
  <c r="AJ33" i="3"/>
  <c r="AJ38" i="4" l="1"/>
  <c r="AJ39" i="4"/>
  <c r="AJ40" i="4"/>
  <c r="AJ41" i="4"/>
  <c r="AJ42" i="4"/>
  <c r="AJ43" i="4"/>
  <c r="AJ44" i="4"/>
  <c r="AJ45" i="4"/>
  <c r="AJ46" i="4"/>
  <c r="AJ47" i="4"/>
  <c r="AJ48" i="4"/>
  <c r="AJ49" i="4"/>
  <c r="AJ9" i="4"/>
  <c r="AJ10" i="4"/>
  <c r="AJ11" i="4"/>
  <c r="AJ12" i="4"/>
  <c r="AJ13" i="4"/>
  <c r="AJ14" i="4"/>
  <c r="AJ15" i="4"/>
  <c r="AJ16" i="4"/>
  <c r="AJ17" i="4"/>
  <c r="AJ18" i="4"/>
  <c r="AJ19" i="4"/>
  <c r="AJ8" i="4"/>
  <c r="AJ61" i="3"/>
  <c r="AJ59" i="3"/>
  <c r="AJ60" i="3"/>
  <c r="AJ55" i="3"/>
  <c r="AJ56" i="3"/>
  <c r="AJ57" i="3"/>
  <c r="AJ58" i="3"/>
  <c r="AJ62" i="3"/>
  <c r="AJ63" i="3"/>
  <c r="AJ64" i="3"/>
  <c r="AJ65" i="3"/>
  <c r="AJ54" i="3"/>
  <c r="AJ27" i="3"/>
  <c r="AJ28" i="3"/>
  <c r="AJ29" i="3"/>
  <c r="AJ30" i="3"/>
  <c r="AJ31" i="3"/>
  <c r="AJ32" i="3"/>
  <c r="AJ34" i="3"/>
  <c r="AJ35" i="3"/>
  <c r="AJ36" i="3"/>
  <c r="AJ37" i="3"/>
  <c r="AJ68" i="3" l="1"/>
  <c r="AJ40" i="3"/>
</calcChain>
</file>

<file path=xl/sharedStrings.xml><?xml version="1.0" encoding="utf-8"?>
<sst xmlns="http://schemas.openxmlformats.org/spreadsheetml/2006/main" count="343" uniqueCount="119">
  <si>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</si>
  <si>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</si>
  <si>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</si>
  <si>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</si>
  <si>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</si>
  <si>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</si>
  <si>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</si>
  <si>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</si>
  <si>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</si>
  <si>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</si>
  <si>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</si>
  <si>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</si>
  <si>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</si>
  <si>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</si>
  <si>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</si>
  <si>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</si>
  <si>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</si>
  <si>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</si>
  <si>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</si>
  <si>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</si>
  <si>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</si>
  <si>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</si>
  <si>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</si>
  <si>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</si>
  <si>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</si>
  <si>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</si>
  <si>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</si>
  <si>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</si>
  <si>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</si>
  <si>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</si>
  <si>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</si>
  <si>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</si>
  <si>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</si>
  <si>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</si>
  <si>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</si>
  <si>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</si>
  <si>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</si>
  <si>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</si>
  <si>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</si>
  <si>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</si>
  <si>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</si>
  <si>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</si>
  <si>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</si>
  <si>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</si>
  <si>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</si>
  <si>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</si>
  <si>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</si>
  <si>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</si>
  <si>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</si>
  <si>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</si>
  <si>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</si>
  <si>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</si>
  <si>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</si>
  <si>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</si>
  <si>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</si>
  <si>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</si>
  <si>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</si>
  <si>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</si>
  <si>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</si>
  <si>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</si>
  <si>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</si>
  <si>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</si>
  <si>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</si>
  <si>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</si>
  <si>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</si>
  <si>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</si>
  <si>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</si>
  <si>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</si>
  <si>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</si>
  <si>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</si>
  <si>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</si>
  <si>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</si>
  <si>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</si>
  <si>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</si>
  <si>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</si>
  <si>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</si>
  <si>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</si>
  <si>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</si>
  <si>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</si>
  <si>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</si>
  <si>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</si>
  <si>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</si>
  <si>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</si>
  <si>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</si>
  <si>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</si>
  <si>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</si>
  <si>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</si>
  <si>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Passed</t>
  </si>
  <si>
    <t>Promoted</t>
  </si>
  <si>
    <t>Homeroom Guidance</t>
  </si>
  <si>
    <t>CAT (Citizenship Advancement Training)</t>
  </si>
  <si>
    <t>PANTAO  ELEMENTARY SCHOOL</t>
  </si>
  <si>
    <t>PANTAO, LIBON, ALBAY</t>
  </si>
  <si>
    <t xml:space="preserve">Copy for </t>
  </si>
  <si>
    <t>HILDA S. SECILLANO</t>
  </si>
  <si>
    <t>DAISY</t>
  </si>
  <si>
    <t>2020-2021</t>
  </si>
  <si>
    <r>
      <t>MA.LUISA J. BRO</t>
    </r>
    <r>
      <rPr>
        <b/>
        <sz val="11"/>
        <color theme="1"/>
        <rFont val="Calibri"/>
        <family val="2"/>
      </rPr>
      <t>Ň</t>
    </r>
    <r>
      <rPr>
        <b/>
        <sz val="11"/>
        <color theme="1"/>
        <rFont val="Arial Narrow"/>
        <family val="2"/>
      </rPr>
      <t>OSO</t>
    </r>
  </si>
  <si>
    <t>NARRA</t>
  </si>
  <si>
    <t>2021-2022</t>
  </si>
  <si>
    <t>MICHELLE D. ABORDE</t>
  </si>
  <si>
    <t>2022-2023</t>
  </si>
  <si>
    <t>2023-2024</t>
  </si>
  <si>
    <t>August 13, 2025.</t>
  </si>
  <si>
    <r>
      <t>CA</t>
    </r>
    <r>
      <rPr>
        <b/>
        <sz val="11"/>
        <color theme="1"/>
        <rFont val="Calibri"/>
        <family val="2"/>
      </rPr>
      <t>Ň</t>
    </r>
    <r>
      <rPr>
        <b/>
        <sz val="11"/>
        <color theme="1"/>
        <rFont val="Arial Narrow"/>
        <family val="2"/>
      </rPr>
      <t>ARES</t>
    </r>
  </si>
  <si>
    <t>JILL RHEAN</t>
  </si>
  <si>
    <t>DACILLO</t>
  </si>
  <si>
    <t>FEMALE</t>
  </si>
  <si>
    <t>SOUTHHILL MONTESSORI SCHOOL, INC</t>
  </si>
  <si>
    <t xml:space="preserve"> WEST</t>
  </si>
  <si>
    <t>CALAMBA CITY</t>
  </si>
  <si>
    <t>IV-A</t>
  </si>
  <si>
    <t>RESPONSIBLE</t>
  </si>
  <si>
    <t>Creative Writing</t>
  </si>
  <si>
    <t>UNITED</t>
  </si>
  <si>
    <t>Advanced English</t>
  </si>
  <si>
    <t>Statistics and Calculus</t>
  </si>
  <si>
    <r>
      <t>JILL RHEAN D. CA</t>
    </r>
    <r>
      <rPr>
        <b/>
        <sz val="11"/>
        <color theme="1"/>
        <rFont val="Calibri"/>
        <family val="2"/>
      </rPr>
      <t>Ň</t>
    </r>
    <r>
      <rPr>
        <b/>
        <sz val="11"/>
        <color theme="1"/>
        <rFont val="Arial Narrow"/>
        <family val="2"/>
      </rPr>
      <t>ARES</t>
    </r>
  </si>
  <si>
    <t>`136880130677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</si>
</sst>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11"/>
      <color theme="1"/>
      <name val="Calibri"/>
      <family val="2"/>
    </font>
    <font>
      <b/>
      <sz val="10"/>
      <color theme="1"/>
      <name val="Agency FB"/>
      <family val="2"/>
    </font>
    <font>
      <b/>
      <sz val="8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14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0" xfId="0" applyFont="1"/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5" fillId="0" borderId="14" xfId="0" applyFont="1" applyBorder="1"/>
    <xf numFmtId="0" fontId="1" fillId="0" borderId="0" xfId="0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8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5" fillId="0" borderId="4" xfId="0" applyFont="1" applyBorder="1"/>
    <xf numFmtId="0" fontId="1" fillId="0" borderId="28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4" xfId="0" applyFont="1" applyBorder="1"/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3" xfId="0" applyFont="1" applyBorder="1"/>
    <xf numFmtId="0" fontId="1" fillId="0" borderId="4" xfId="0" applyFont="1" applyBorder="1" applyAlignment="1">
      <alignment horizontal="right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33" xfId="0" applyFont="1" applyBorder="1" applyAlignment="1">
      <alignment horizontal="center"/>
    </xf>
    <xf numFmtId="0" fontId="1" fillId="0" borderId="14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" xfId="0" applyFont="1" applyBorder="1"/>
    <xf numFmtId="1" fontId="1" fillId="0" borderId="2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0" fontId="10" fillId="0" borderId="1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15" fillId="0" borderId="25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2.wdp"/><Relationship Id="rId5" Type="http://schemas.openxmlformats.org/officeDocument/2006/relationships/image" Target="../media/image4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47</xdr:col>
      <xdr:colOff>7620</xdr:colOff>
      <xdr:row>20</xdr:row>
      <xdr:rowOff>144780</xdr:rowOff>
    </xdr:from>
    <xdr:to>
      <xdr:col>53</xdr:col>
      <xdr:colOff>91440</xdr:colOff>
      <xdr:row>23</xdr:row>
      <xdr:rowOff>182880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3">
          <a:biLevel thresh="75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33034" b="90787" l="9431" r="89182">
                      <a14:foregroundMark x1="41193" y1="47640" x2="41193" y2="47640"/>
                      <a14:foregroundMark x1="58391" y1="53034" x2="58391" y2="53034"/>
                      <a14:foregroundMark x1="81553" y1="51011" x2="81553" y2="51011"/>
                      <a14:foregroundMark x1="15673" y1="44719" x2="15673" y2="44719"/>
                      <a14:foregroundMark x1="11373" y1="49663" x2="11373" y2="49663"/>
                      <a14:foregroundMark x1="39945" y1="91011" x2="39945" y2="91011"/>
                      <a14:foregroundMark x1="87795" y1="51011" x2="87795" y2="51011"/>
                      <a14:foregroundMark x1="71429" y1="38876" x2="71429" y2="38876"/>
                      <a14:foregroundMark x1="10541" y1="54157" x2="10541" y2="54157"/>
                      <a14:foregroundMark x1="9570" y1="54157" x2="9570" y2="54157"/>
                      <a14:foregroundMark x1="13454" y1="58652" x2="13454" y2="58652"/>
                      <a14:foregroundMark x1="33703" y1="38876" x2="33703" y2="38876"/>
                      <a14:foregroundMark x1="47157" y1="51685" x2="47157" y2="51685"/>
                      <a14:foregroundMark x1="46325" y1="84270" x2="46325" y2="84270"/>
                      <a14:foregroundMark x1="33703" y1="88539" x2="33703" y2="88539"/>
                      <a14:foregroundMark x1="57143" y1="50337" x2="57143" y2="50337"/>
                      <a14:foregroundMark x1="47989" y1="36180" x2="47989" y2="36180"/>
                      <a14:foregroundMark x1="66436" y1="50337" x2="66436" y2="50337"/>
                      <a14:foregroundMark x1="74064" y1="54607" x2="74064" y2="54607"/>
                      <a14:foregroundMark x1="80721" y1="54607" x2="80721" y2="54607"/>
                      <a14:foregroundMark x1="85021" y1="51685" x2="85021" y2="51685"/>
                      <a14:foregroundMark x1="75728" y1="38876" x2="75728" y2="38876"/>
                      <a14:foregroundMark x1="89182" y1="53034" x2="89182" y2="53034"/>
                      <a14:foregroundMark x1="44521" y1="51685" x2="44521" y2="51685"/>
                      <a14:foregroundMark x1="54646" y1="55955" x2="54646" y2="55955"/>
                      <a14:foregroundMark x1="63107" y1="54607" x2="63107" y2="54607"/>
                      <a14:foregroundMark x1="68932" y1="50337" x2="68932" y2="50337"/>
                      <a14:foregroundMark x1="51318" y1="33258" x2="51318" y2="33258"/>
                      <a14:foregroundMark x1="70596" y1="47416" x2="70596" y2="47416"/>
                      <a14:foregroundMark x1="82386" y1="51685" x2="82386" y2="51685"/>
                      <a14:foregroundMark x1="87517" y1="54607" x2="87517" y2="54607"/>
                    </a14:backgroundRemoval>
                  </a14:imgEffect>
                </a14:imgLayer>
              </a14:imgProps>
            </a:ext>
          </a:extLst>
        </a:blip>
        <a:srcRect l="6741" t="26200" r="4176" b="3290"/>
        <a:stretch/>
      </xdr:blipFill>
      <xdr:spPr bwMode="auto">
        <a:xfrm>
          <a:off x="7741920" y="3543300"/>
          <a:ext cx="1066800" cy="42672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47</xdr:col>
      <xdr:colOff>15240</xdr:colOff>
      <xdr:row>48</xdr:row>
      <xdr:rowOff>137160</xdr:rowOff>
    </xdr:from>
    <xdr:to>
      <xdr:col>54</xdr:col>
      <xdr:colOff>7620</xdr:colOff>
      <xdr:row>51</xdr:row>
      <xdr:rowOff>15240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 rotWithShape="1">
        <a:blip xmlns:r="http://schemas.openxmlformats.org/officeDocument/2006/relationships" r:embed="rId5">
          <a:biLevel thresh="75000"/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25763" b="66780" l="11307" r="81910">
                      <a14:foregroundMark x1="11307" y1="58644" x2="11307" y2="58644"/>
                      <a14:foregroundMark x1="28392" y1="54237" x2="28392" y2="54237"/>
                      <a14:foregroundMark x1="41960" y1="50847" x2="41960" y2="50847"/>
                      <a14:foregroundMark x1="38945" y1="28475" x2="38945" y2="28475"/>
                      <a14:foregroundMark x1="50251" y1="30169" x2="50251" y2="30169"/>
                      <a14:foregroundMark x1="59799" y1="32881" x2="59799" y2="32881"/>
                      <a14:foregroundMark x1="64824" y1="40000" x2="64824" y2="40000"/>
                      <a14:foregroundMark x1="59799" y1="50169" x2="59799" y2="50169"/>
                      <a14:foregroundMark x1="54020" y1="44068" x2="54020" y2="44068"/>
                      <a14:foregroundMark x1="49246" y1="54915" x2="49246" y2="54915"/>
                      <a14:foregroundMark x1="53266" y1="64407" x2="53266" y2="64407"/>
                      <a14:foregroundMark x1="61055" y1="66441" x2="61055" y2="66441"/>
                      <a14:foregroundMark x1="71859" y1="65085" x2="71859" y2="65085"/>
                      <a14:foregroundMark x1="76131" y1="58644" x2="76131" y2="58644"/>
                      <a14:foregroundMark x1="80402" y1="52881" x2="80402" y2="52881"/>
                      <a14:foregroundMark x1="81910" y1="48475" x2="81910" y2="48475"/>
                      <a14:foregroundMark x1="70854" y1="52542" x2="70854" y2="52542"/>
                      <a14:foregroundMark x1="72362" y1="53220" x2="72362" y2="53220"/>
                      <a14:foregroundMark x1="72362" y1="51186" x2="72362" y2="51186"/>
                      <a14:foregroundMark x1="63568" y1="55254" x2="63568" y2="55254"/>
                      <a14:foregroundMark x1="57789" y1="53220" x2="57789" y2="53220"/>
                      <a14:foregroundMark x1="47990" y1="66780" x2="47990" y2="66780"/>
                      <a14:foregroundMark x1="54020" y1="65085" x2="54020" y2="65085"/>
                      <a14:foregroundMark x1="54523" y1="64068" x2="54523" y2="64068"/>
                      <a14:foregroundMark x1="62814" y1="33898" x2="62814" y2="33898"/>
                      <a14:foregroundMark x1="52764" y1="35593" x2="52764" y2="35593"/>
                      <a14:foregroundMark x1="51508" y1="45085" x2="51508" y2="45085"/>
                    </a14:backgroundRemoval>
                  </a14:imgEffect>
                </a14:imgLayer>
              </a14:imgProps>
            </a:ext>
          </a:extLst>
        </a:blip>
        <a:srcRect l="8599" t="21171" r="12230" b="29939"/>
        <a:stretch/>
      </xdr:blipFill>
      <xdr:spPr bwMode="auto">
        <a:xfrm>
          <a:off x="7749540" y="8077200"/>
          <a:ext cx="1158240" cy="2667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tabSelected="1" topLeftCell="A43" zoomScaleNormal="100" zoomScaleSheetLayoutView="110" workbookViewId="0">
      <selection activeCell="AJ68" sqref="AJ68:AO68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138" t="s">
        <v>0</v>
      </c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138"/>
      <c r="AM2" s="138"/>
      <c r="AN2" s="138"/>
      <c r="AO2" s="138"/>
      <c r="AP2" s="138"/>
      <c r="AQ2" s="138"/>
      <c r="AR2" s="138"/>
      <c r="AS2" s="138"/>
      <c r="AT2" s="138"/>
      <c r="AU2" s="138"/>
      <c r="AV2" s="138"/>
      <c r="AW2" s="138"/>
      <c r="AX2" s="138"/>
      <c r="AY2" s="138"/>
      <c r="AZ2" s="138"/>
      <c r="BA2" s="138"/>
      <c r="BB2" s="138"/>
      <c r="BC2" s="138"/>
    </row>
    <row r="3" spans="2:55" x14ac:dyDescent="0.25">
      <c r="B3" s="138" t="s">
        <v>31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</row>
    <row r="4" spans="2:55" ht="18.75" customHeight="1" x14ac:dyDescent="0.35">
      <c r="B4" s="137" t="s">
        <v>23</v>
      </c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</row>
    <row r="5" spans="2:55" ht="14.4" thickBot="1" x14ac:dyDescent="0.3">
      <c r="B5" s="136" t="s">
        <v>25</v>
      </c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36"/>
      <c r="AF5" s="136"/>
      <c r="AG5" s="136"/>
      <c r="AH5" s="136"/>
      <c r="AI5" s="136"/>
      <c r="AJ5" s="136"/>
      <c r="AK5" s="136"/>
      <c r="AL5" s="136"/>
      <c r="AM5" s="136"/>
      <c r="AN5" s="136"/>
      <c r="AO5" s="136"/>
      <c r="AP5" s="136"/>
      <c r="AQ5" s="136"/>
      <c r="AR5" s="136"/>
      <c r="AS5" s="136"/>
      <c r="AT5" s="136"/>
      <c r="AU5" s="136"/>
      <c r="AV5" s="136"/>
      <c r="AW5" s="136"/>
      <c r="AX5" s="136"/>
      <c r="AY5" s="136"/>
      <c r="AZ5" s="136"/>
      <c r="BA5" s="136"/>
      <c r="BB5" s="136"/>
      <c r="BC5" s="136"/>
    </row>
    <row r="6" spans="2:55" ht="18.600000000000001" thickBot="1" x14ac:dyDescent="0.4">
      <c r="B6" s="142" t="s">
        <v>16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  <c r="AF6" s="143"/>
      <c r="AG6" s="143"/>
      <c r="AH6" s="143"/>
      <c r="AI6" s="143"/>
      <c r="AJ6" s="143"/>
      <c r="AK6" s="143"/>
      <c r="AL6" s="143"/>
      <c r="AM6" s="143"/>
      <c r="AN6" s="143"/>
      <c r="AO6" s="143"/>
      <c r="AP6" s="143"/>
      <c r="AQ6" s="143"/>
      <c r="AR6" s="143"/>
      <c r="AS6" s="143"/>
      <c r="AT6" s="143"/>
      <c r="AU6" s="143"/>
      <c r="AV6" s="143"/>
      <c r="AW6" s="143"/>
      <c r="AX6" s="143"/>
      <c r="AY6" s="143"/>
      <c r="AZ6" s="143"/>
      <c r="BA6" s="143"/>
      <c r="BB6" s="143"/>
      <c r="BC6" s="144"/>
    </row>
    <row r="7" spans="2:55" ht="14.4" x14ac:dyDescent="0.3">
      <c r="B7" s="112" t="s">
        <v>30</v>
      </c>
      <c r="C7" s="112"/>
      <c r="D7" s="112"/>
      <c r="E7" s="112"/>
      <c r="F7" s="112"/>
      <c r="G7" s="77" t="s">
        <v>104</v>
      </c>
      <c r="H7" s="77"/>
      <c r="I7" s="77"/>
      <c r="J7" s="77"/>
      <c r="K7" s="77"/>
      <c r="L7" s="77"/>
      <c r="M7" s="77"/>
      <c r="N7" s="77"/>
      <c r="O7" s="77"/>
      <c r="P7" s="77"/>
      <c r="Q7" s="77"/>
      <c r="R7" s="113" t="s">
        <v>32</v>
      </c>
      <c r="S7" s="113"/>
      <c r="T7" s="113"/>
      <c r="U7" s="113"/>
      <c r="V7" s="113"/>
      <c r="W7" s="77" t="s">
        <v>105</v>
      </c>
      <c r="X7" s="77"/>
      <c r="Y7" s="77"/>
      <c r="Z7" s="77"/>
      <c r="AA7" s="77"/>
      <c r="AB7" s="77"/>
      <c r="AC7" s="77"/>
      <c r="AD7" s="77"/>
      <c r="AE7" s="77"/>
      <c r="AF7" s="77"/>
      <c r="AG7" s="77"/>
      <c r="AH7" s="113" t="s">
        <v>51</v>
      </c>
      <c r="AI7" s="113"/>
      <c r="AJ7" s="113"/>
      <c r="AK7" s="113"/>
      <c r="AL7" s="113"/>
      <c r="AM7" s="113"/>
      <c r="AN7" s="125"/>
      <c r="AO7" s="125"/>
      <c r="AP7" s="125"/>
      <c r="AQ7" s="113" t="s">
        <v>33</v>
      </c>
      <c r="AR7" s="113"/>
      <c r="AS7" s="113"/>
      <c r="AT7" s="113"/>
      <c r="AU7" s="113"/>
      <c r="AV7" s="113"/>
      <c r="AW7" s="113"/>
      <c r="AX7" s="77" t="s">
        <v>106</v>
      </c>
      <c r="AY7" s="77"/>
      <c r="AZ7" s="77"/>
      <c r="BA7" s="77"/>
      <c r="BB7" s="77"/>
      <c r="BC7" s="77"/>
    </row>
    <row r="8" spans="2:55" x14ac:dyDescent="0.25">
      <c r="B8" s="112" t="s">
        <v>52</v>
      </c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47">
        <v>136880130677</v>
      </c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15" t="s">
        <v>34</v>
      </c>
      <c r="AA8" s="115"/>
      <c r="AB8" s="115"/>
      <c r="AC8" s="115"/>
      <c r="AD8" s="115"/>
      <c r="AE8" s="115"/>
      <c r="AF8" s="115"/>
      <c r="AG8" s="115"/>
      <c r="AH8" s="146">
        <v>39531</v>
      </c>
      <c r="AI8" s="77"/>
      <c r="AJ8" s="77"/>
      <c r="AK8" s="77"/>
      <c r="AL8" s="77"/>
      <c r="AM8" s="77"/>
      <c r="AN8" s="77"/>
      <c r="AO8" s="77"/>
      <c r="AP8" s="77"/>
      <c r="AQ8" s="77"/>
      <c r="AR8" s="77"/>
      <c r="AS8" s="113" t="s">
        <v>53</v>
      </c>
      <c r="AT8" s="113"/>
      <c r="AU8" s="113"/>
      <c r="AV8" s="77" t="s">
        <v>107</v>
      </c>
      <c r="AW8" s="77"/>
      <c r="AX8" s="77"/>
      <c r="AY8" s="77"/>
      <c r="AZ8" s="77"/>
      <c r="BA8" s="77"/>
      <c r="BB8" s="77"/>
      <c r="BC8" s="77"/>
    </row>
    <row r="9" spans="2:55" ht="14.4" thickBot="1" x14ac:dyDescent="0.3"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03"/>
      <c r="AY9" s="103"/>
      <c r="AZ9" s="103"/>
      <c r="BA9" s="103"/>
      <c r="BB9" s="103"/>
      <c r="BC9" s="103"/>
    </row>
    <row r="10" spans="2:55" ht="18.600000000000001" thickBot="1" x14ac:dyDescent="0.4">
      <c r="B10" s="142" t="s">
        <v>17</v>
      </c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4"/>
    </row>
    <row r="11" spans="2:55" ht="5.25" customHeight="1" x14ac:dyDescent="0.25"/>
    <row r="12" spans="2:55" x14ac:dyDescent="0.25">
      <c r="B12" s="114"/>
      <c r="C12" s="103"/>
      <c r="D12" s="103" t="s">
        <v>18</v>
      </c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15" t="s">
        <v>20</v>
      </c>
      <c r="X12" s="115"/>
      <c r="Y12" s="115"/>
      <c r="Z12" s="115"/>
      <c r="AA12" s="115"/>
      <c r="AB12" s="115"/>
      <c r="AC12" s="116">
        <v>88</v>
      </c>
      <c r="AD12" s="116"/>
      <c r="AE12" s="116"/>
      <c r="AF12" s="103"/>
      <c r="AG12" s="103"/>
      <c r="AH12" s="103"/>
      <c r="AI12" s="103"/>
      <c r="AJ12" s="115" t="s">
        <v>54</v>
      </c>
      <c r="AK12" s="115"/>
      <c r="AL12" s="115"/>
      <c r="AM12" s="115"/>
      <c r="AN12" s="115"/>
      <c r="AO12" s="115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7"/>
    </row>
    <row r="13" spans="2:55" x14ac:dyDescent="0.25">
      <c r="B13" s="100"/>
      <c r="C13" s="101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77" t="s">
        <v>91</v>
      </c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102" t="s">
        <v>28</v>
      </c>
      <c r="AD13" s="102"/>
      <c r="AE13" s="102"/>
      <c r="AF13" s="102"/>
      <c r="AG13" s="102"/>
      <c r="AH13" s="77">
        <v>111798</v>
      </c>
      <c r="AI13" s="77"/>
      <c r="AJ13" s="77"/>
      <c r="AK13" s="102" t="s">
        <v>36</v>
      </c>
      <c r="AL13" s="102"/>
      <c r="AM13" s="102"/>
      <c r="AN13" s="102"/>
      <c r="AO13" s="102"/>
      <c r="AP13" s="102"/>
      <c r="AQ13" s="102"/>
      <c r="AR13" s="116" t="s">
        <v>92</v>
      </c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7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112" t="s">
        <v>21</v>
      </c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</row>
    <row r="16" spans="2:55" x14ac:dyDescent="0.25">
      <c r="B16" s="112"/>
      <c r="C16" s="112"/>
      <c r="D16" s="112" t="s">
        <v>48</v>
      </c>
      <c r="E16" s="112"/>
      <c r="F16" s="112"/>
      <c r="G16" s="112"/>
      <c r="H16" s="112"/>
      <c r="I16" s="113" t="s">
        <v>49</v>
      </c>
      <c r="J16" s="113"/>
      <c r="K16" s="113"/>
      <c r="L16" s="125"/>
      <c r="M16" s="125"/>
      <c r="N16" s="125"/>
      <c r="O16" s="125"/>
      <c r="P16" s="125"/>
      <c r="Q16" s="125"/>
      <c r="R16" s="74"/>
      <c r="S16" s="74"/>
      <c r="T16" s="74"/>
      <c r="U16" s="74"/>
      <c r="V16" s="74"/>
      <c r="W16" s="74"/>
      <c r="X16" s="112" t="s">
        <v>56</v>
      </c>
      <c r="Y16" s="112"/>
      <c r="Z16" s="112"/>
      <c r="AA16" s="112"/>
      <c r="AB16" s="112"/>
      <c r="AC16" s="112"/>
      <c r="AD16" s="112"/>
      <c r="AE16" s="112"/>
      <c r="AF16" s="112" t="s">
        <v>49</v>
      </c>
      <c r="AG16" s="112"/>
      <c r="AH16" s="112"/>
      <c r="AI16" s="125"/>
      <c r="AJ16" s="125"/>
      <c r="AK16" s="125"/>
      <c r="AL16" s="125"/>
      <c r="AM16" s="125"/>
      <c r="AN16" s="112"/>
      <c r="AO16" s="112"/>
      <c r="AP16" s="112"/>
      <c r="AQ16" s="113" t="s">
        <v>38</v>
      </c>
      <c r="AR16" s="113"/>
      <c r="AS16" s="113"/>
      <c r="AT16" s="113"/>
      <c r="AU16" s="113"/>
      <c r="AV16" s="113"/>
      <c r="AW16" s="113"/>
      <c r="AX16" s="125"/>
      <c r="AY16" s="125"/>
      <c r="AZ16" s="125"/>
      <c r="BA16" s="125"/>
      <c r="BB16" s="125"/>
      <c r="BC16" s="125"/>
    </row>
    <row r="17" spans="2:55" x14ac:dyDescent="0.25">
      <c r="B17" s="112"/>
      <c r="C17" s="112"/>
      <c r="D17" s="112" t="s">
        <v>37</v>
      </c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45"/>
      <c r="U17" s="145"/>
      <c r="V17" s="145"/>
      <c r="W17" s="145"/>
      <c r="X17" s="145"/>
      <c r="Y17" s="145"/>
      <c r="Z17" s="145"/>
      <c r="AA17" s="145"/>
      <c r="AB17" s="145"/>
      <c r="AC17" s="113" t="s">
        <v>39</v>
      </c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</row>
    <row r="18" spans="2:55" ht="14.4" thickBot="1" x14ac:dyDescent="0.3"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2"/>
      <c r="AT18" s="112"/>
      <c r="AU18" s="112"/>
      <c r="AV18" s="112"/>
      <c r="AW18" s="112"/>
      <c r="AX18" s="103"/>
      <c r="AY18" s="103"/>
      <c r="AZ18" s="103"/>
      <c r="BA18" s="103"/>
      <c r="BB18" s="103"/>
      <c r="BC18" s="103"/>
    </row>
    <row r="19" spans="2:55" ht="18.600000000000001" thickBot="1" x14ac:dyDescent="0.4">
      <c r="B19" s="142" t="s">
        <v>22</v>
      </c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3"/>
      <c r="AY19" s="143"/>
      <c r="AZ19" s="143"/>
      <c r="BA19" s="143"/>
      <c r="BB19" s="143"/>
      <c r="BC19" s="144"/>
    </row>
    <row r="20" spans="2:55" s="6" customFormat="1" ht="5.25" customHeight="1" thickBot="1" x14ac:dyDescent="0.3"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</row>
    <row r="21" spans="2:55" ht="14.4" x14ac:dyDescent="0.3">
      <c r="B21" s="121" t="s">
        <v>42</v>
      </c>
      <c r="C21" s="122"/>
      <c r="D21" s="122"/>
      <c r="E21" s="139" t="s">
        <v>83</v>
      </c>
      <c r="F21" s="139"/>
      <c r="G21" s="139"/>
      <c r="H21" s="139"/>
      <c r="I21" s="139"/>
      <c r="J21" s="139"/>
      <c r="K21" s="139"/>
      <c r="L21" s="139"/>
      <c r="M21" s="139"/>
      <c r="N21" s="139"/>
      <c r="O21" s="139"/>
      <c r="P21" s="139"/>
      <c r="Q21" s="118" t="s">
        <v>28</v>
      </c>
      <c r="R21" s="118"/>
      <c r="S21" s="118"/>
      <c r="T21" s="118"/>
      <c r="U21" s="140">
        <v>301860</v>
      </c>
      <c r="V21" s="140"/>
      <c r="W21" s="140"/>
      <c r="X21" s="140"/>
      <c r="Y21" s="140"/>
      <c r="Z21" s="140"/>
      <c r="AA21" s="118" t="s">
        <v>41</v>
      </c>
      <c r="AB21" s="118"/>
      <c r="AC21" s="118"/>
      <c r="AD21" s="140" t="s">
        <v>86</v>
      </c>
      <c r="AE21" s="140"/>
      <c r="AF21" s="140"/>
      <c r="AG21" s="140"/>
      <c r="AH21" s="140"/>
      <c r="AI21" s="140"/>
      <c r="AJ21" s="140"/>
      <c r="AK21" s="140"/>
      <c r="AL21" s="140"/>
      <c r="AM21" s="122" t="s">
        <v>40</v>
      </c>
      <c r="AN21" s="122"/>
      <c r="AO21" s="122"/>
      <c r="AP21" s="140" t="s">
        <v>84</v>
      </c>
      <c r="AQ21" s="140"/>
      <c r="AR21" s="140"/>
      <c r="AS21" s="140"/>
      <c r="AT21" s="140"/>
      <c r="AU21" s="140"/>
      <c r="AV21" s="140"/>
      <c r="AW21" s="140"/>
      <c r="AX21" s="140"/>
      <c r="AY21" s="118" t="s">
        <v>55</v>
      </c>
      <c r="AZ21" s="118"/>
      <c r="BA21" s="118"/>
      <c r="BB21" s="140" t="s">
        <v>85</v>
      </c>
      <c r="BC21" s="141"/>
    </row>
    <row r="22" spans="2:55" ht="14.4" x14ac:dyDescent="0.3">
      <c r="B22" s="120" t="s">
        <v>47</v>
      </c>
      <c r="C22" s="101"/>
      <c r="D22" s="101"/>
      <c r="E22" s="101"/>
      <c r="F22" s="101"/>
      <c r="G22" s="101"/>
      <c r="H22" s="101"/>
      <c r="I22" s="77">
        <v>7</v>
      </c>
      <c r="J22" s="77"/>
      <c r="K22" s="123" t="s">
        <v>46</v>
      </c>
      <c r="L22" s="123"/>
      <c r="M22" s="6"/>
      <c r="N22" s="134" t="s">
        <v>95</v>
      </c>
      <c r="O22" s="134"/>
      <c r="P22" s="134"/>
      <c r="Q22" s="134"/>
      <c r="R22" s="124" t="s">
        <v>45</v>
      </c>
      <c r="S22" s="124"/>
      <c r="T22" s="124"/>
      <c r="U22" s="124"/>
      <c r="V22" s="77" t="s">
        <v>96</v>
      </c>
      <c r="W22" s="77"/>
      <c r="X22" s="77"/>
      <c r="Y22" s="77"/>
      <c r="Z22" s="77"/>
      <c r="AA22" s="102" t="s">
        <v>44</v>
      </c>
      <c r="AB22" s="102"/>
      <c r="AC22" s="102"/>
      <c r="AD22" s="102"/>
      <c r="AE22" s="102"/>
      <c r="AF22" s="102"/>
      <c r="AG22" s="102"/>
      <c r="AH22" s="102"/>
      <c r="AI22" s="77" t="s">
        <v>97</v>
      </c>
      <c r="AJ22" s="77"/>
      <c r="AK22" s="77"/>
      <c r="AL22" s="77"/>
      <c r="AM22" s="77"/>
      <c r="AN22" s="77"/>
      <c r="AO22" s="77"/>
      <c r="AP22" s="77"/>
      <c r="AQ22" s="77"/>
      <c r="AR22" s="77"/>
      <c r="AS22" s="103" t="s">
        <v>43</v>
      </c>
      <c r="AT22" s="103"/>
      <c r="AU22" s="103"/>
      <c r="AV22" s="103"/>
      <c r="AW22" s="125"/>
      <c r="AX22" s="125"/>
      <c r="AY22" s="125"/>
      <c r="AZ22" s="125"/>
      <c r="BA22" s="125"/>
      <c r="BB22" s="125"/>
      <c r="BC22" s="126"/>
    </row>
    <row r="23" spans="2:55" ht="2.25" customHeight="1" x14ac:dyDescent="0.25">
      <c r="B23" s="76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77"/>
      <c r="AX23" s="77"/>
      <c r="AY23" s="77"/>
      <c r="AZ23" s="77"/>
      <c r="BA23" s="77"/>
      <c r="BB23" s="77"/>
      <c r="BC23" s="78"/>
    </row>
    <row r="24" spans="2:55" ht="16.5" customHeight="1" x14ac:dyDescent="0.25">
      <c r="B24" s="104" t="s">
        <v>26</v>
      </c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90" t="s">
        <v>29</v>
      </c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81" t="s">
        <v>62</v>
      </c>
      <c r="AK24" s="81"/>
      <c r="AL24" s="81"/>
      <c r="AM24" s="81"/>
      <c r="AN24" s="81"/>
      <c r="AO24" s="81"/>
      <c r="AP24" s="80" t="s">
        <v>8</v>
      </c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2"/>
    </row>
    <row r="25" spans="2:55" x14ac:dyDescent="0.25">
      <c r="B25" s="135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90">
        <v>1</v>
      </c>
      <c r="V25" s="90"/>
      <c r="W25" s="90"/>
      <c r="X25" s="90"/>
      <c r="Y25" s="90">
        <v>2</v>
      </c>
      <c r="Z25" s="90"/>
      <c r="AA25" s="90"/>
      <c r="AB25" s="90"/>
      <c r="AC25" s="90">
        <v>3</v>
      </c>
      <c r="AD25" s="90"/>
      <c r="AE25" s="90"/>
      <c r="AF25" s="90"/>
      <c r="AG25" s="90">
        <v>4</v>
      </c>
      <c r="AH25" s="90"/>
      <c r="AI25" s="90"/>
      <c r="AJ25" s="81"/>
      <c r="AK25" s="81"/>
      <c r="AL25" s="81"/>
      <c r="AM25" s="81"/>
      <c r="AN25" s="81"/>
      <c r="AO25" s="81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2"/>
    </row>
    <row r="26" spans="2:55" x14ac:dyDescent="0.25">
      <c r="B26" s="129" t="s">
        <v>1</v>
      </c>
      <c r="C26" s="130"/>
      <c r="D26" s="130"/>
      <c r="E26" s="130"/>
      <c r="F26" s="130"/>
      <c r="G26" s="130"/>
      <c r="H26" s="130"/>
      <c r="I26" s="130"/>
      <c r="J26" s="130"/>
      <c r="K26" s="130"/>
      <c r="L26" s="130"/>
      <c r="M26" s="130"/>
      <c r="N26" s="130"/>
      <c r="O26" s="130"/>
      <c r="P26" s="130"/>
      <c r="Q26" s="130"/>
      <c r="R26" s="130"/>
      <c r="S26" s="130"/>
      <c r="T26" s="130"/>
      <c r="U26" s="131">
        <v>80</v>
      </c>
      <c r="V26" s="131"/>
      <c r="W26" s="131"/>
      <c r="X26" s="131"/>
      <c r="Y26" s="131">
        <v>83</v>
      </c>
      <c r="Z26" s="131"/>
      <c r="AA26" s="131"/>
      <c r="AB26" s="131"/>
      <c r="AC26" s="131">
        <v>85</v>
      </c>
      <c r="AD26" s="131"/>
      <c r="AE26" s="131"/>
      <c r="AF26" s="131"/>
      <c r="AG26" s="131">
        <v>86</v>
      </c>
      <c r="AH26" s="131"/>
      <c r="AI26" s="131"/>
      <c r="AJ26" s="131">
        <f>AVERAGE(AG26,AC26,Y26,U26)</f>
        <v>83.5</v>
      </c>
      <c r="AK26" s="131"/>
      <c r="AL26" s="131"/>
      <c r="AM26" s="131"/>
      <c r="AN26" s="131"/>
      <c r="AO26" s="131"/>
      <c r="AP26" s="127" t="s">
        <v>87</v>
      </c>
      <c r="AQ26" s="127"/>
      <c r="AR26" s="127"/>
      <c r="AS26" s="127"/>
      <c r="AT26" s="127"/>
      <c r="AU26" s="127"/>
      <c r="AV26" s="127"/>
      <c r="AW26" s="127"/>
      <c r="AX26" s="127"/>
      <c r="AY26" s="127"/>
      <c r="AZ26" s="127"/>
      <c r="BA26" s="127"/>
      <c r="BB26" s="127"/>
      <c r="BC26" s="128"/>
    </row>
    <row r="27" spans="2:55" x14ac:dyDescent="0.25">
      <c r="B27" s="129" t="s">
        <v>2</v>
      </c>
      <c r="C27" s="130"/>
      <c r="D27" s="130"/>
      <c r="E27" s="130"/>
      <c r="F27" s="130"/>
      <c r="G27" s="130"/>
      <c r="H27" s="130"/>
      <c r="I27" s="130"/>
      <c r="J27" s="130"/>
      <c r="K27" s="130"/>
      <c r="L27" s="130"/>
      <c r="M27" s="130"/>
      <c r="N27" s="130"/>
      <c r="O27" s="130"/>
      <c r="P27" s="130"/>
      <c r="Q27" s="130"/>
      <c r="R27" s="130"/>
      <c r="S27" s="130"/>
      <c r="T27" s="130"/>
      <c r="U27" s="131">
        <v>82</v>
      </c>
      <c r="V27" s="131"/>
      <c r="W27" s="131"/>
      <c r="X27" s="131"/>
      <c r="Y27" s="131">
        <v>85</v>
      </c>
      <c r="Z27" s="131"/>
      <c r="AA27" s="131"/>
      <c r="AB27" s="131"/>
      <c r="AC27" s="131">
        <v>78</v>
      </c>
      <c r="AD27" s="131"/>
      <c r="AE27" s="131"/>
      <c r="AF27" s="131"/>
      <c r="AG27" s="131">
        <v>77</v>
      </c>
      <c r="AH27" s="131"/>
      <c r="AI27" s="131"/>
      <c r="AJ27" s="131">
        <f t="shared" ref="AJ27:AJ37" si="0">AVERAGE(U27,Y27,AC27,AG27)</f>
        <v>80.5</v>
      </c>
      <c r="AK27" s="131"/>
      <c r="AL27" s="131"/>
      <c r="AM27" s="131"/>
      <c r="AN27" s="131"/>
      <c r="AO27" s="131"/>
      <c r="AP27" s="127" t="s">
        <v>87</v>
      </c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8"/>
    </row>
    <row r="28" spans="2:55" x14ac:dyDescent="0.25">
      <c r="B28" s="129" t="s">
        <v>3</v>
      </c>
      <c r="C28" s="130"/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  <c r="Q28" s="130"/>
      <c r="R28" s="130"/>
      <c r="S28" s="130"/>
      <c r="T28" s="130"/>
      <c r="U28" s="131">
        <v>85</v>
      </c>
      <c r="V28" s="131"/>
      <c r="W28" s="131"/>
      <c r="X28" s="131"/>
      <c r="Y28" s="131">
        <v>93</v>
      </c>
      <c r="Z28" s="131"/>
      <c r="AA28" s="131"/>
      <c r="AB28" s="131"/>
      <c r="AC28" s="131">
        <v>93</v>
      </c>
      <c r="AD28" s="131"/>
      <c r="AE28" s="131"/>
      <c r="AF28" s="131"/>
      <c r="AG28" s="131">
        <v>92</v>
      </c>
      <c r="AH28" s="131"/>
      <c r="AI28" s="131"/>
      <c r="AJ28" s="131">
        <f t="shared" si="0"/>
        <v>90.75</v>
      </c>
      <c r="AK28" s="131"/>
      <c r="AL28" s="131"/>
      <c r="AM28" s="131"/>
      <c r="AN28" s="131"/>
      <c r="AO28" s="131"/>
      <c r="AP28" s="127" t="s">
        <v>87</v>
      </c>
      <c r="AQ28" s="127"/>
      <c r="AR28" s="127"/>
      <c r="AS28" s="127"/>
      <c r="AT28" s="127"/>
      <c r="AU28" s="127"/>
      <c r="AV28" s="127"/>
      <c r="AW28" s="127"/>
      <c r="AX28" s="127"/>
      <c r="AY28" s="127"/>
      <c r="AZ28" s="127"/>
      <c r="BA28" s="127"/>
      <c r="BB28" s="127"/>
      <c r="BC28" s="128"/>
    </row>
    <row r="29" spans="2:55" x14ac:dyDescent="0.25">
      <c r="B29" s="129" t="s">
        <v>57</v>
      </c>
      <c r="C29" s="130"/>
      <c r="D29" s="130"/>
      <c r="E29" s="130"/>
      <c r="F29" s="130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1">
        <v>92</v>
      </c>
      <c r="V29" s="131"/>
      <c r="W29" s="131"/>
      <c r="X29" s="131"/>
      <c r="Y29" s="131">
        <v>91</v>
      </c>
      <c r="Z29" s="131"/>
      <c r="AA29" s="131"/>
      <c r="AB29" s="131"/>
      <c r="AC29" s="131">
        <v>93</v>
      </c>
      <c r="AD29" s="131"/>
      <c r="AE29" s="131"/>
      <c r="AF29" s="131"/>
      <c r="AG29" s="131">
        <v>93</v>
      </c>
      <c r="AH29" s="131"/>
      <c r="AI29" s="131"/>
      <c r="AJ29" s="131">
        <f t="shared" si="0"/>
        <v>92.25</v>
      </c>
      <c r="AK29" s="131"/>
      <c r="AL29" s="131"/>
      <c r="AM29" s="131"/>
      <c r="AN29" s="131"/>
      <c r="AO29" s="131"/>
      <c r="AP29" s="127" t="s">
        <v>87</v>
      </c>
      <c r="AQ29" s="127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  <c r="BC29" s="128"/>
    </row>
    <row r="30" spans="2:55" x14ac:dyDescent="0.25">
      <c r="B30" s="129" t="s">
        <v>4</v>
      </c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0"/>
      <c r="P30" s="130"/>
      <c r="Q30" s="130"/>
      <c r="R30" s="130"/>
      <c r="S30" s="130"/>
      <c r="T30" s="130"/>
      <c r="U30" s="131">
        <v>94</v>
      </c>
      <c r="V30" s="131"/>
      <c r="W30" s="131"/>
      <c r="X30" s="131"/>
      <c r="Y30" s="131">
        <v>96</v>
      </c>
      <c r="Z30" s="131"/>
      <c r="AA30" s="131"/>
      <c r="AB30" s="131"/>
      <c r="AC30" s="131">
        <v>92</v>
      </c>
      <c r="AD30" s="131"/>
      <c r="AE30" s="131"/>
      <c r="AF30" s="131"/>
      <c r="AG30" s="131">
        <v>94</v>
      </c>
      <c r="AH30" s="131"/>
      <c r="AI30" s="131"/>
      <c r="AJ30" s="131">
        <f t="shared" si="0"/>
        <v>94</v>
      </c>
      <c r="AK30" s="131"/>
      <c r="AL30" s="131"/>
      <c r="AM30" s="131"/>
      <c r="AN30" s="131"/>
      <c r="AO30" s="131"/>
      <c r="AP30" s="127" t="s">
        <v>87</v>
      </c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8"/>
    </row>
    <row r="31" spans="2:55" x14ac:dyDescent="0.25">
      <c r="B31" s="129" t="s">
        <v>5</v>
      </c>
      <c r="C31" s="130"/>
      <c r="D31" s="130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1">
        <v>89</v>
      </c>
      <c r="V31" s="131"/>
      <c r="W31" s="131"/>
      <c r="X31" s="131"/>
      <c r="Y31" s="131">
        <v>91</v>
      </c>
      <c r="Z31" s="131"/>
      <c r="AA31" s="131"/>
      <c r="AB31" s="131"/>
      <c r="AC31" s="131">
        <v>90</v>
      </c>
      <c r="AD31" s="131"/>
      <c r="AE31" s="131"/>
      <c r="AF31" s="131"/>
      <c r="AG31" s="131">
        <v>91</v>
      </c>
      <c r="AH31" s="131"/>
      <c r="AI31" s="131"/>
      <c r="AJ31" s="131">
        <f t="shared" si="0"/>
        <v>90.25</v>
      </c>
      <c r="AK31" s="131"/>
      <c r="AL31" s="131"/>
      <c r="AM31" s="131"/>
      <c r="AN31" s="131"/>
      <c r="AO31" s="131"/>
      <c r="AP31" s="127" t="s">
        <v>87</v>
      </c>
      <c r="AQ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8"/>
    </row>
    <row r="32" spans="2:55" x14ac:dyDescent="0.25">
      <c r="B32" s="129" t="s">
        <v>6</v>
      </c>
      <c r="C32" s="130"/>
      <c r="D32" s="130"/>
      <c r="E32" s="130"/>
      <c r="F32" s="130"/>
      <c r="G32" s="130"/>
      <c r="H32" s="130"/>
      <c r="I32" s="130"/>
      <c r="J32" s="130"/>
      <c r="K32" s="130"/>
      <c r="L32" s="130"/>
      <c r="M32" s="130"/>
      <c r="N32" s="130"/>
      <c r="O32" s="130"/>
      <c r="P32" s="130"/>
      <c r="Q32" s="130"/>
      <c r="R32" s="130"/>
      <c r="S32" s="130"/>
      <c r="T32" s="130"/>
      <c r="U32" s="131">
        <v>80</v>
      </c>
      <c r="V32" s="131"/>
      <c r="W32" s="131"/>
      <c r="X32" s="131"/>
      <c r="Y32" s="131">
        <v>83</v>
      </c>
      <c r="Z32" s="131"/>
      <c r="AA32" s="131"/>
      <c r="AB32" s="131"/>
      <c r="AC32" s="131">
        <v>90</v>
      </c>
      <c r="AD32" s="131"/>
      <c r="AE32" s="131"/>
      <c r="AF32" s="131"/>
      <c r="AG32" s="131">
        <v>89</v>
      </c>
      <c r="AH32" s="131"/>
      <c r="AI32" s="131"/>
      <c r="AJ32" s="131">
        <f t="shared" si="0"/>
        <v>85.5</v>
      </c>
      <c r="AK32" s="131"/>
      <c r="AL32" s="131"/>
      <c r="AM32" s="131"/>
      <c r="AN32" s="131"/>
      <c r="AO32" s="131"/>
      <c r="AP32" s="127" t="s">
        <v>87</v>
      </c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8"/>
    </row>
    <row r="33" spans="2:56" x14ac:dyDescent="0.25">
      <c r="B33" s="129" t="s">
        <v>7</v>
      </c>
      <c r="C33" s="130"/>
      <c r="D33" s="130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1">
        <v>85</v>
      </c>
      <c r="V33" s="131"/>
      <c r="W33" s="131"/>
      <c r="X33" s="131"/>
      <c r="Y33" s="131">
        <v>85</v>
      </c>
      <c r="Z33" s="131"/>
      <c r="AA33" s="131"/>
      <c r="AB33" s="131"/>
      <c r="AC33" s="131">
        <v>85</v>
      </c>
      <c r="AD33" s="131"/>
      <c r="AE33" s="131"/>
      <c r="AF33" s="131"/>
      <c r="AG33" s="131">
        <v>85</v>
      </c>
      <c r="AH33" s="131"/>
      <c r="AI33" s="131"/>
      <c r="AJ33" s="131">
        <f>AVERAGE(U33,Y33,AC33,AG33)</f>
        <v>85</v>
      </c>
      <c r="AK33" s="131"/>
      <c r="AL33" s="131"/>
      <c r="AM33" s="131"/>
      <c r="AN33" s="131"/>
      <c r="AO33" s="131"/>
      <c r="AP33" s="127" t="s">
        <v>87</v>
      </c>
      <c r="AQ33" s="127"/>
      <c r="AR33" s="127"/>
      <c r="AS33" s="127"/>
      <c r="AT33" s="127"/>
      <c r="AU33" s="127"/>
      <c r="AV33" s="127"/>
      <c r="AW33" s="127"/>
      <c r="AX33" s="127"/>
      <c r="AY33" s="127"/>
      <c r="AZ33" s="127"/>
      <c r="BA33" s="127"/>
      <c r="BB33" s="127"/>
      <c r="BC33" s="128"/>
    </row>
    <row r="34" spans="2:56" x14ac:dyDescent="0.25">
      <c r="B34" s="132" t="s">
        <v>58</v>
      </c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1">
        <v>86</v>
      </c>
      <c r="V34" s="131"/>
      <c r="W34" s="131"/>
      <c r="X34" s="131"/>
      <c r="Y34" s="131">
        <v>86</v>
      </c>
      <c r="Z34" s="131"/>
      <c r="AA34" s="131"/>
      <c r="AB34" s="131"/>
      <c r="AC34" s="131">
        <v>83</v>
      </c>
      <c r="AD34" s="131"/>
      <c r="AE34" s="131"/>
      <c r="AF34" s="131"/>
      <c r="AG34" s="131">
        <v>86</v>
      </c>
      <c r="AH34" s="131"/>
      <c r="AI34" s="131"/>
      <c r="AJ34" s="131">
        <f t="shared" si="0"/>
        <v>85.25</v>
      </c>
      <c r="AK34" s="131"/>
      <c r="AL34" s="131"/>
      <c r="AM34" s="131"/>
      <c r="AN34" s="131"/>
      <c r="AO34" s="131"/>
      <c r="AP34" s="127" t="s">
        <v>87</v>
      </c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8"/>
    </row>
    <row r="35" spans="2:56" x14ac:dyDescent="0.25">
      <c r="B35" s="132" t="s">
        <v>59</v>
      </c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1">
        <v>85</v>
      </c>
      <c r="V35" s="131"/>
      <c r="W35" s="131"/>
      <c r="X35" s="131"/>
      <c r="Y35" s="131">
        <v>85</v>
      </c>
      <c r="Z35" s="131"/>
      <c r="AA35" s="131"/>
      <c r="AB35" s="131"/>
      <c r="AC35" s="131">
        <v>85</v>
      </c>
      <c r="AD35" s="131"/>
      <c r="AE35" s="131"/>
      <c r="AF35" s="131"/>
      <c r="AG35" s="131">
        <v>86</v>
      </c>
      <c r="AH35" s="131"/>
      <c r="AI35" s="131"/>
      <c r="AJ35" s="131">
        <f t="shared" si="0"/>
        <v>85.25</v>
      </c>
      <c r="AK35" s="131"/>
      <c r="AL35" s="131"/>
      <c r="AM35" s="131"/>
      <c r="AN35" s="131"/>
      <c r="AO35" s="131"/>
      <c r="AP35" s="127" t="s">
        <v>87</v>
      </c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8"/>
    </row>
    <row r="36" spans="2:56" x14ac:dyDescent="0.25">
      <c r="B36" s="132" t="s">
        <v>60</v>
      </c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1">
        <v>85</v>
      </c>
      <c r="V36" s="131"/>
      <c r="W36" s="131"/>
      <c r="X36" s="131"/>
      <c r="Y36" s="131">
        <v>85</v>
      </c>
      <c r="Z36" s="131"/>
      <c r="AA36" s="131"/>
      <c r="AB36" s="131"/>
      <c r="AC36" s="131">
        <v>85</v>
      </c>
      <c r="AD36" s="131"/>
      <c r="AE36" s="131"/>
      <c r="AF36" s="131"/>
      <c r="AG36" s="131">
        <v>84</v>
      </c>
      <c r="AH36" s="131"/>
      <c r="AI36" s="131"/>
      <c r="AJ36" s="131">
        <f t="shared" si="0"/>
        <v>84.75</v>
      </c>
      <c r="AK36" s="131"/>
      <c r="AL36" s="131"/>
      <c r="AM36" s="131"/>
      <c r="AN36" s="131"/>
      <c r="AO36" s="131"/>
      <c r="AP36" s="127" t="s">
        <v>87</v>
      </c>
      <c r="AQ36" s="127"/>
      <c r="AR36" s="127"/>
      <c r="AS36" s="127"/>
      <c r="AT36" s="127"/>
      <c r="AU36" s="127"/>
      <c r="AV36" s="127"/>
      <c r="AW36" s="127"/>
      <c r="AX36" s="127"/>
      <c r="AY36" s="127"/>
      <c r="AZ36" s="127"/>
      <c r="BA36" s="127"/>
      <c r="BB36" s="127"/>
      <c r="BC36" s="128"/>
    </row>
    <row r="37" spans="2:56" x14ac:dyDescent="0.25">
      <c r="B37" s="132" t="s">
        <v>61</v>
      </c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1">
        <v>83</v>
      </c>
      <c r="V37" s="131"/>
      <c r="W37" s="131"/>
      <c r="X37" s="131"/>
      <c r="Y37" s="131">
        <v>84</v>
      </c>
      <c r="Z37" s="131"/>
      <c r="AA37" s="131"/>
      <c r="AB37" s="131"/>
      <c r="AC37" s="131">
        <v>86</v>
      </c>
      <c r="AD37" s="131"/>
      <c r="AE37" s="131"/>
      <c r="AF37" s="131"/>
      <c r="AG37" s="131">
        <v>85</v>
      </c>
      <c r="AH37" s="131"/>
      <c r="AI37" s="131"/>
      <c r="AJ37" s="131">
        <f t="shared" si="0"/>
        <v>84.5</v>
      </c>
      <c r="AK37" s="131"/>
      <c r="AL37" s="131"/>
      <c r="AM37" s="131"/>
      <c r="AN37" s="131"/>
      <c r="AO37" s="131"/>
      <c r="AP37" s="127" t="s">
        <v>87</v>
      </c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8"/>
    </row>
    <row r="38" spans="2:56" x14ac:dyDescent="0.25">
      <c r="B38" s="129" t="s">
        <v>89</v>
      </c>
      <c r="C38" s="130"/>
      <c r="D38" s="130"/>
      <c r="E38" s="130"/>
      <c r="F38" s="130"/>
      <c r="G38" s="130"/>
      <c r="H38" s="130"/>
      <c r="I38" s="130"/>
      <c r="J38" s="130"/>
      <c r="K38" s="130"/>
      <c r="L38" s="130"/>
      <c r="M38" s="130"/>
      <c r="N38" s="130"/>
      <c r="O38" s="130"/>
      <c r="P38" s="130"/>
      <c r="Q38" s="130"/>
      <c r="R38" s="130"/>
      <c r="S38" s="130"/>
      <c r="T38" s="130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8"/>
    </row>
    <row r="39" spans="2:56" x14ac:dyDescent="0.25">
      <c r="B39" s="86"/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131"/>
      <c r="V39" s="131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1"/>
      <c r="AO39" s="131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8"/>
    </row>
    <row r="40" spans="2:56" x14ac:dyDescent="0.25">
      <c r="B40" s="86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 t="s">
        <v>9</v>
      </c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9">
        <f>AVERAGE(AJ26:AO33)</f>
        <v>87.71875</v>
      </c>
      <c r="AK40" s="89"/>
      <c r="AL40" s="89"/>
      <c r="AM40" s="89"/>
      <c r="AN40" s="89"/>
      <c r="AO40" s="89"/>
      <c r="AP40" s="84" t="s">
        <v>88</v>
      </c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5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94" t="s">
        <v>15</v>
      </c>
      <c r="C42" s="95"/>
      <c r="D42" s="95"/>
      <c r="E42" s="95"/>
      <c r="F42" s="95"/>
      <c r="G42" s="95"/>
      <c r="H42" s="95"/>
      <c r="I42" s="95"/>
      <c r="J42" s="95"/>
      <c r="K42" s="95"/>
      <c r="L42" s="99" t="s">
        <v>64</v>
      </c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2"/>
      <c r="Y42" s="92"/>
      <c r="Z42" s="92"/>
      <c r="AA42" s="92"/>
      <c r="AB42" s="92"/>
      <c r="AC42" s="92"/>
      <c r="AD42" s="92"/>
      <c r="AE42" s="92"/>
      <c r="AF42" s="92"/>
      <c r="AG42" s="99" t="s">
        <v>66</v>
      </c>
      <c r="AH42" s="99"/>
      <c r="AI42" s="99"/>
      <c r="AJ42" s="99"/>
      <c r="AK42" s="99"/>
      <c r="AL42" s="92"/>
      <c r="AM42" s="92"/>
      <c r="AN42" s="92"/>
      <c r="AO42" s="92"/>
      <c r="AP42" s="92"/>
      <c r="AQ42" s="92"/>
      <c r="AR42" s="92"/>
      <c r="AS42" s="92"/>
      <c r="AT42" s="92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76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77"/>
      <c r="AR43" s="77"/>
      <c r="AS43" s="77"/>
      <c r="AT43" s="77"/>
      <c r="AU43" s="77"/>
      <c r="AV43" s="77"/>
      <c r="AW43" s="77"/>
      <c r="AX43" s="77"/>
      <c r="AY43" s="77"/>
      <c r="AZ43" s="77"/>
      <c r="BA43" s="77"/>
      <c r="BB43" s="77"/>
      <c r="BC43" s="78"/>
      <c r="BD43" s="1" t="s">
        <v>65</v>
      </c>
    </row>
    <row r="44" spans="2:56" ht="16.5" customHeight="1" x14ac:dyDescent="0.25">
      <c r="B44" s="104" t="s">
        <v>27</v>
      </c>
      <c r="C44" s="80"/>
      <c r="D44" s="80"/>
      <c r="E44" s="80"/>
      <c r="F44" s="80"/>
      <c r="G44" s="80"/>
      <c r="H44" s="80"/>
      <c r="I44" s="80"/>
      <c r="J44" s="80"/>
      <c r="K44" s="80"/>
      <c r="L44" s="80" t="s">
        <v>10</v>
      </c>
      <c r="M44" s="80"/>
      <c r="N44" s="80"/>
      <c r="O44" s="80"/>
      <c r="P44" s="80"/>
      <c r="Q44" s="80"/>
      <c r="R44" s="80"/>
      <c r="S44" s="80"/>
      <c r="T44" s="80"/>
      <c r="U44" s="80" t="s">
        <v>11</v>
      </c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1" t="s">
        <v>63</v>
      </c>
      <c r="AI44" s="81"/>
      <c r="AJ44" s="81"/>
      <c r="AK44" s="81"/>
      <c r="AL44" s="81"/>
      <c r="AM44" s="81"/>
      <c r="AN44" s="81"/>
      <c r="AO44" s="81"/>
      <c r="AP44" s="80" t="s">
        <v>12</v>
      </c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2"/>
    </row>
    <row r="45" spans="2:56" x14ac:dyDescent="0.25">
      <c r="B45" s="104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1"/>
      <c r="AI45" s="81"/>
      <c r="AJ45" s="81"/>
      <c r="AK45" s="81"/>
      <c r="AL45" s="81"/>
      <c r="AM45" s="81"/>
      <c r="AN45" s="81"/>
      <c r="AO45" s="81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2"/>
    </row>
    <row r="46" spans="2:56" x14ac:dyDescent="0.25">
      <c r="B46" s="83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5"/>
    </row>
    <row r="47" spans="2:56" ht="14.4" thickBot="1" x14ac:dyDescent="0.3">
      <c r="B47" s="106"/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7"/>
      <c r="T47" s="107"/>
      <c r="U47" s="107"/>
      <c r="V47" s="107"/>
      <c r="W47" s="107"/>
      <c r="X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7"/>
      <c r="AN47" s="107"/>
      <c r="AO47" s="107"/>
      <c r="AP47" s="107"/>
      <c r="AQ47" s="107"/>
      <c r="AR47" s="107"/>
      <c r="AS47" s="107"/>
      <c r="AT47" s="107"/>
      <c r="AU47" s="107"/>
      <c r="AV47" s="107"/>
      <c r="AW47" s="107"/>
      <c r="AX47" s="107"/>
      <c r="AY47" s="107"/>
      <c r="AZ47" s="107"/>
      <c r="BA47" s="107"/>
      <c r="BB47" s="107"/>
      <c r="BC47" s="108"/>
    </row>
    <row r="48" spans="2:56" ht="10.5" customHeight="1" thickBot="1" x14ac:dyDescent="0.3"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19"/>
      <c r="AX48" s="119"/>
      <c r="AY48" s="119"/>
      <c r="AZ48" s="119"/>
      <c r="BA48" s="119"/>
      <c r="BB48" s="119"/>
      <c r="BC48" s="119"/>
    </row>
    <row r="49" spans="2:55" ht="14.4" x14ac:dyDescent="0.3">
      <c r="B49" s="121" t="s">
        <v>42</v>
      </c>
      <c r="C49" s="122"/>
      <c r="D49" s="122"/>
      <c r="E49" s="139" t="s">
        <v>83</v>
      </c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18" t="s">
        <v>28</v>
      </c>
      <c r="R49" s="118"/>
      <c r="S49" s="118"/>
      <c r="T49" s="118"/>
      <c r="U49" s="140">
        <v>301860</v>
      </c>
      <c r="V49" s="140"/>
      <c r="W49" s="140"/>
      <c r="X49" s="140"/>
      <c r="Y49" s="140"/>
      <c r="Z49" s="140"/>
      <c r="AA49" s="118" t="s">
        <v>41</v>
      </c>
      <c r="AB49" s="118"/>
      <c r="AC49" s="118"/>
      <c r="AD49" s="140" t="s">
        <v>86</v>
      </c>
      <c r="AE49" s="140"/>
      <c r="AF49" s="140"/>
      <c r="AG49" s="140"/>
      <c r="AH49" s="140"/>
      <c r="AI49" s="140"/>
      <c r="AJ49" s="140"/>
      <c r="AK49" s="140"/>
      <c r="AL49" s="140"/>
      <c r="AM49" s="122" t="s">
        <v>40</v>
      </c>
      <c r="AN49" s="122"/>
      <c r="AO49" s="122"/>
      <c r="AP49" s="140" t="s">
        <v>84</v>
      </c>
      <c r="AQ49" s="140"/>
      <c r="AR49" s="140"/>
      <c r="AS49" s="140"/>
      <c r="AT49" s="140"/>
      <c r="AU49" s="140"/>
      <c r="AV49" s="140"/>
      <c r="AW49" s="140"/>
      <c r="AX49" s="140"/>
      <c r="AY49" s="118" t="s">
        <v>55</v>
      </c>
      <c r="AZ49" s="118"/>
      <c r="BA49" s="118"/>
      <c r="BB49" s="140" t="s">
        <v>85</v>
      </c>
      <c r="BC49" s="141"/>
    </row>
    <row r="50" spans="2:55" ht="14.4" x14ac:dyDescent="0.3">
      <c r="B50" s="120" t="s">
        <v>47</v>
      </c>
      <c r="C50" s="101"/>
      <c r="D50" s="101"/>
      <c r="E50" s="101"/>
      <c r="F50" s="101"/>
      <c r="G50" s="101"/>
      <c r="H50" s="101"/>
      <c r="I50" s="77">
        <v>8</v>
      </c>
      <c r="J50" s="77"/>
      <c r="K50" s="123" t="s">
        <v>46</v>
      </c>
      <c r="L50" s="123"/>
      <c r="M50" s="123"/>
      <c r="N50" s="134" t="s">
        <v>98</v>
      </c>
      <c r="O50" s="134"/>
      <c r="P50" s="134"/>
      <c r="Q50" s="134"/>
      <c r="R50" s="124" t="s">
        <v>45</v>
      </c>
      <c r="S50" s="124"/>
      <c r="T50" s="124"/>
      <c r="U50" s="124"/>
      <c r="V50" s="77" t="s">
        <v>99</v>
      </c>
      <c r="W50" s="77"/>
      <c r="X50" s="77"/>
      <c r="Y50" s="77"/>
      <c r="Z50" s="77"/>
      <c r="AA50" s="102" t="s">
        <v>44</v>
      </c>
      <c r="AB50" s="102"/>
      <c r="AC50" s="102"/>
      <c r="AD50" s="102"/>
      <c r="AE50" s="102"/>
      <c r="AF50" s="102"/>
      <c r="AG50" s="102"/>
      <c r="AH50" s="102"/>
      <c r="AI50" s="77" t="s">
        <v>100</v>
      </c>
      <c r="AJ50" s="77"/>
      <c r="AK50" s="77"/>
      <c r="AL50" s="77"/>
      <c r="AM50" s="77"/>
      <c r="AN50" s="77"/>
      <c r="AO50" s="77"/>
      <c r="AP50" s="77"/>
      <c r="AQ50" s="77"/>
      <c r="AR50" s="77"/>
      <c r="AS50" s="103" t="s">
        <v>43</v>
      </c>
      <c r="AT50" s="103"/>
      <c r="AU50" s="103"/>
      <c r="AV50" s="103"/>
      <c r="AW50" s="125"/>
      <c r="AX50" s="125"/>
      <c r="AY50" s="125"/>
      <c r="AZ50" s="125"/>
      <c r="BA50" s="125"/>
      <c r="BB50" s="125"/>
      <c r="BC50" s="126"/>
    </row>
    <row r="51" spans="2:55" ht="2.25" customHeight="1" x14ac:dyDescent="0.25">
      <c r="B51" s="76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8"/>
    </row>
    <row r="52" spans="2:55" ht="16.5" customHeight="1" x14ac:dyDescent="0.25">
      <c r="B52" s="104" t="s">
        <v>26</v>
      </c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90" t="s">
        <v>29</v>
      </c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81" t="s">
        <v>62</v>
      </c>
      <c r="AK52" s="81"/>
      <c r="AL52" s="81"/>
      <c r="AM52" s="81"/>
      <c r="AN52" s="81"/>
      <c r="AO52" s="81"/>
      <c r="AP52" s="80" t="s">
        <v>8</v>
      </c>
      <c r="AQ52" s="80"/>
      <c r="AR52" s="80"/>
      <c r="AS52" s="80"/>
      <c r="AT52" s="80"/>
      <c r="AU52" s="80"/>
      <c r="AV52" s="80"/>
      <c r="AW52" s="80"/>
      <c r="AX52" s="80"/>
      <c r="AY52" s="80"/>
      <c r="AZ52" s="80"/>
      <c r="BA52" s="80"/>
      <c r="BB52" s="80"/>
      <c r="BC52" s="82"/>
    </row>
    <row r="53" spans="2:55" x14ac:dyDescent="0.25">
      <c r="B53" s="135"/>
      <c r="C53" s="127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7"/>
      <c r="S53" s="127"/>
      <c r="T53" s="127"/>
      <c r="U53" s="90">
        <v>1</v>
      </c>
      <c r="V53" s="90"/>
      <c r="W53" s="90"/>
      <c r="X53" s="90"/>
      <c r="Y53" s="90">
        <v>2</v>
      </c>
      <c r="Z53" s="90"/>
      <c r="AA53" s="90"/>
      <c r="AB53" s="90"/>
      <c r="AC53" s="90">
        <v>3</v>
      </c>
      <c r="AD53" s="90"/>
      <c r="AE53" s="90"/>
      <c r="AF53" s="90"/>
      <c r="AG53" s="90">
        <v>4</v>
      </c>
      <c r="AH53" s="90"/>
      <c r="AI53" s="90"/>
      <c r="AJ53" s="81"/>
      <c r="AK53" s="81"/>
      <c r="AL53" s="81"/>
      <c r="AM53" s="81"/>
      <c r="AN53" s="81"/>
      <c r="AO53" s="81"/>
      <c r="AP53" s="80"/>
      <c r="AQ53" s="80"/>
      <c r="AR53" s="80"/>
      <c r="AS53" s="80"/>
      <c r="AT53" s="80"/>
      <c r="AU53" s="80"/>
      <c r="AV53" s="80"/>
      <c r="AW53" s="80"/>
      <c r="AX53" s="80"/>
      <c r="AY53" s="80"/>
      <c r="AZ53" s="80"/>
      <c r="BA53" s="80"/>
      <c r="BB53" s="80"/>
      <c r="BC53" s="82"/>
    </row>
    <row r="54" spans="2:55" x14ac:dyDescent="0.25">
      <c r="B54" s="129" t="s">
        <v>1</v>
      </c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27">
        <v>78</v>
      </c>
      <c r="V54" s="127"/>
      <c r="W54" s="127"/>
      <c r="X54" s="127"/>
      <c r="Y54" s="127">
        <v>91</v>
      </c>
      <c r="Z54" s="127"/>
      <c r="AA54" s="127"/>
      <c r="AB54" s="127"/>
      <c r="AC54" s="127">
        <v>85</v>
      </c>
      <c r="AD54" s="127"/>
      <c r="AE54" s="127"/>
      <c r="AF54" s="127"/>
      <c r="AG54" s="127">
        <v>92</v>
      </c>
      <c r="AH54" s="127"/>
      <c r="AI54" s="127"/>
      <c r="AJ54" s="131">
        <f>AVERAGE(AG54,AC54,Y54,U54)</f>
        <v>86.5</v>
      </c>
      <c r="AK54" s="131"/>
      <c r="AL54" s="131"/>
      <c r="AM54" s="131"/>
      <c r="AN54" s="131"/>
      <c r="AO54" s="131"/>
      <c r="AP54" s="127" t="s">
        <v>87</v>
      </c>
      <c r="AQ54" s="127"/>
      <c r="AR54" s="127"/>
      <c r="AS54" s="127"/>
      <c r="AT54" s="127"/>
      <c r="AU54" s="127"/>
      <c r="AV54" s="127"/>
      <c r="AW54" s="127"/>
      <c r="AX54" s="127"/>
      <c r="AY54" s="127"/>
      <c r="AZ54" s="127"/>
      <c r="BA54" s="127"/>
      <c r="BB54" s="127"/>
      <c r="BC54" s="128"/>
    </row>
    <row r="55" spans="2:55" x14ac:dyDescent="0.25">
      <c r="B55" s="129" t="s">
        <v>2</v>
      </c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27">
        <v>88</v>
      </c>
      <c r="V55" s="127"/>
      <c r="W55" s="127"/>
      <c r="X55" s="127"/>
      <c r="Y55" s="127">
        <v>89</v>
      </c>
      <c r="Z55" s="127"/>
      <c r="AA55" s="127"/>
      <c r="AB55" s="127"/>
      <c r="AC55" s="127">
        <v>90</v>
      </c>
      <c r="AD55" s="127"/>
      <c r="AE55" s="127"/>
      <c r="AF55" s="127"/>
      <c r="AG55" s="127">
        <v>90</v>
      </c>
      <c r="AH55" s="127"/>
      <c r="AI55" s="127"/>
      <c r="AJ55" s="131">
        <f t="shared" ref="AJ55:AJ65" si="1">AVERAGE(AG55,AC55,Y55,U55)</f>
        <v>89.25</v>
      </c>
      <c r="AK55" s="131"/>
      <c r="AL55" s="131"/>
      <c r="AM55" s="131"/>
      <c r="AN55" s="131"/>
      <c r="AO55" s="131"/>
      <c r="AP55" s="127" t="s">
        <v>87</v>
      </c>
      <c r="AQ55" s="127"/>
      <c r="AR55" s="127"/>
      <c r="AS55" s="127"/>
      <c r="AT55" s="127"/>
      <c r="AU55" s="127"/>
      <c r="AV55" s="127"/>
      <c r="AW55" s="127"/>
      <c r="AX55" s="127"/>
      <c r="AY55" s="127"/>
      <c r="AZ55" s="127"/>
      <c r="BA55" s="127"/>
      <c r="BB55" s="127"/>
      <c r="BC55" s="128"/>
    </row>
    <row r="56" spans="2:55" x14ac:dyDescent="0.25">
      <c r="B56" s="129" t="s">
        <v>3</v>
      </c>
      <c r="C56" s="130"/>
      <c r="D56" s="130"/>
      <c r="E56" s="130"/>
      <c r="F56" s="130"/>
      <c r="G56" s="130"/>
      <c r="H56" s="130"/>
      <c r="I56" s="130"/>
      <c r="J56" s="130"/>
      <c r="K56" s="130"/>
      <c r="L56" s="130"/>
      <c r="M56" s="130"/>
      <c r="N56" s="130"/>
      <c r="O56" s="130"/>
      <c r="P56" s="130"/>
      <c r="Q56" s="130"/>
      <c r="R56" s="130"/>
      <c r="S56" s="130"/>
      <c r="T56" s="130"/>
      <c r="U56" s="127">
        <v>85</v>
      </c>
      <c r="V56" s="127"/>
      <c r="W56" s="127"/>
      <c r="X56" s="127"/>
      <c r="Y56" s="127">
        <v>87</v>
      </c>
      <c r="Z56" s="127"/>
      <c r="AA56" s="127"/>
      <c r="AB56" s="127"/>
      <c r="AC56" s="127">
        <v>90</v>
      </c>
      <c r="AD56" s="127"/>
      <c r="AE56" s="127"/>
      <c r="AF56" s="127"/>
      <c r="AG56" s="127">
        <v>90</v>
      </c>
      <c r="AH56" s="127"/>
      <c r="AI56" s="127"/>
      <c r="AJ56" s="131">
        <f t="shared" si="1"/>
        <v>88</v>
      </c>
      <c r="AK56" s="131"/>
      <c r="AL56" s="131"/>
      <c r="AM56" s="131"/>
      <c r="AN56" s="131"/>
      <c r="AO56" s="131"/>
      <c r="AP56" s="127" t="s">
        <v>87</v>
      </c>
      <c r="AQ56" s="127"/>
      <c r="AR56" s="127"/>
      <c r="AS56" s="127"/>
      <c r="AT56" s="127"/>
      <c r="AU56" s="127"/>
      <c r="AV56" s="127"/>
      <c r="AW56" s="127"/>
      <c r="AX56" s="127"/>
      <c r="AY56" s="127"/>
      <c r="AZ56" s="127"/>
      <c r="BA56" s="127"/>
      <c r="BB56" s="127"/>
      <c r="BC56" s="128"/>
    </row>
    <row r="57" spans="2:55" x14ac:dyDescent="0.25">
      <c r="B57" s="129" t="s">
        <v>57</v>
      </c>
      <c r="C57" s="130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0"/>
      <c r="Q57" s="130"/>
      <c r="R57" s="130"/>
      <c r="S57" s="130"/>
      <c r="T57" s="130"/>
      <c r="U57" s="127">
        <v>85</v>
      </c>
      <c r="V57" s="127"/>
      <c r="W57" s="127"/>
      <c r="X57" s="127"/>
      <c r="Y57" s="127">
        <v>89</v>
      </c>
      <c r="Z57" s="127"/>
      <c r="AA57" s="127"/>
      <c r="AB57" s="127"/>
      <c r="AC57" s="127">
        <v>91</v>
      </c>
      <c r="AD57" s="127"/>
      <c r="AE57" s="127"/>
      <c r="AF57" s="127"/>
      <c r="AG57" s="127">
        <v>91</v>
      </c>
      <c r="AH57" s="127"/>
      <c r="AI57" s="127"/>
      <c r="AJ57" s="131">
        <f t="shared" si="1"/>
        <v>89</v>
      </c>
      <c r="AK57" s="131"/>
      <c r="AL57" s="131"/>
      <c r="AM57" s="131"/>
      <c r="AN57" s="131"/>
      <c r="AO57" s="131"/>
      <c r="AP57" s="127" t="s">
        <v>87</v>
      </c>
      <c r="AQ57" s="127"/>
      <c r="AR57" s="127"/>
      <c r="AS57" s="127"/>
      <c r="AT57" s="127"/>
      <c r="AU57" s="127"/>
      <c r="AV57" s="127"/>
      <c r="AW57" s="127"/>
      <c r="AX57" s="127"/>
      <c r="AY57" s="127"/>
      <c r="AZ57" s="127"/>
      <c r="BA57" s="127"/>
      <c r="BB57" s="127"/>
      <c r="BC57" s="128"/>
    </row>
    <row r="58" spans="2:55" x14ac:dyDescent="0.25">
      <c r="B58" s="129" t="s">
        <v>4</v>
      </c>
      <c r="C58" s="130"/>
      <c r="D58" s="130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130"/>
      <c r="U58" s="127">
        <v>83</v>
      </c>
      <c r="V58" s="127"/>
      <c r="W58" s="127"/>
      <c r="X58" s="127"/>
      <c r="Y58" s="127">
        <v>87</v>
      </c>
      <c r="Z58" s="127"/>
      <c r="AA58" s="127"/>
      <c r="AB58" s="127"/>
      <c r="AC58" s="127">
        <v>88</v>
      </c>
      <c r="AD58" s="127"/>
      <c r="AE58" s="127"/>
      <c r="AF58" s="127"/>
      <c r="AG58" s="127">
        <v>88</v>
      </c>
      <c r="AH58" s="127"/>
      <c r="AI58" s="127"/>
      <c r="AJ58" s="131">
        <f t="shared" si="1"/>
        <v>86.5</v>
      </c>
      <c r="AK58" s="131"/>
      <c r="AL58" s="131"/>
      <c r="AM58" s="131"/>
      <c r="AN58" s="131"/>
      <c r="AO58" s="131"/>
      <c r="AP58" s="127" t="s">
        <v>87</v>
      </c>
      <c r="AQ58" s="127"/>
      <c r="AR58" s="127"/>
      <c r="AS58" s="127"/>
      <c r="AT58" s="127"/>
      <c r="AU58" s="127"/>
      <c r="AV58" s="127"/>
      <c r="AW58" s="127"/>
      <c r="AX58" s="127"/>
      <c r="AY58" s="127"/>
      <c r="AZ58" s="127"/>
      <c r="BA58" s="127"/>
      <c r="BB58" s="127"/>
      <c r="BC58" s="128"/>
    </row>
    <row r="59" spans="2:55" x14ac:dyDescent="0.25">
      <c r="B59" s="129" t="s">
        <v>5</v>
      </c>
      <c r="C59" s="130"/>
      <c r="D59" s="130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30"/>
      <c r="U59" s="127">
        <v>84</v>
      </c>
      <c r="V59" s="127"/>
      <c r="W59" s="127"/>
      <c r="X59" s="127"/>
      <c r="Y59" s="127">
        <v>92</v>
      </c>
      <c r="Z59" s="127"/>
      <c r="AA59" s="127"/>
      <c r="AB59" s="127"/>
      <c r="AC59" s="127">
        <v>90</v>
      </c>
      <c r="AD59" s="127"/>
      <c r="AE59" s="127"/>
      <c r="AF59" s="127"/>
      <c r="AG59" s="127">
        <v>93</v>
      </c>
      <c r="AH59" s="127"/>
      <c r="AI59" s="127"/>
      <c r="AJ59" s="131">
        <f t="shared" ref="AJ59:AJ60" si="2">AVERAGE(AG59,AC59,Y59,U59)</f>
        <v>89.75</v>
      </c>
      <c r="AK59" s="131"/>
      <c r="AL59" s="131"/>
      <c r="AM59" s="131"/>
      <c r="AN59" s="131"/>
      <c r="AO59" s="131"/>
      <c r="AP59" s="127" t="s">
        <v>87</v>
      </c>
      <c r="AQ59" s="127"/>
      <c r="AR59" s="127"/>
      <c r="AS59" s="127"/>
      <c r="AT59" s="127"/>
      <c r="AU59" s="127"/>
      <c r="AV59" s="127"/>
      <c r="AW59" s="127"/>
      <c r="AX59" s="127"/>
      <c r="AY59" s="127"/>
      <c r="AZ59" s="127"/>
      <c r="BA59" s="127"/>
      <c r="BB59" s="127"/>
      <c r="BC59" s="128"/>
    </row>
    <row r="60" spans="2:55" x14ac:dyDescent="0.25">
      <c r="B60" s="129" t="s">
        <v>6</v>
      </c>
      <c r="C60" s="130"/>
      <c r="D60" s="130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30"/>
      <c r="U60" s="127">
        <v>86</v>
      </c>
      <c r="V60" s="127"/>
      <c r="W60" s="127"/>
      <c r="X60" s="127"/>
      <c r="Y60" s="127">
        <v>92</v>
      </c>
      <c r="Z60" s="127"/>
      <c r="AA60" s="127"/>
      <c r="AB60" s="127"/>
      <c r="AC60" s="127">
        <v>85</v>
      </c>
      <c r="AD60" s="127"/>
      <c r="AE60" s="127"/>
      <c r="AF60" s="127"/>
      <c r="AG60" s="127">
        <v>83</v>
      </c>
      <c r="AH60" s="127"/>
      <c r="AI60" s="127"/>
      <c r="AJ60" s="131">
        <f t="shared" si="2"/>
        <v>86.5</v>
      </c>
      <c r="AK60" s="131"/>
      <c r="AL60" s="131"/>
      <c r="AM60" s="131"/>
      <c r="AN60" s="131"/>
      <c r="AO60" s="131"/>
      <c r="AP60" s="127" t="s">
        <v>87</v>
      </c>
      <c r="AQ60" s="127"/>
      <c r="AR60" s="127"/>
      <c r="AS60" s="127"/>
      <c r="AT60" s="127"/>
      <c r="AU60" s="127"/>
      <c r="AV60" s="127"/>
      <c r="AW60" s="127"/>
      <c r="AX60" s="127"/>
      <c r="AY60" s="127"/>
      <c r="AZ60" s="127"/>
      <c r="BA60" s="127"/>
      <c r="BB60" s="127"/>
      <c r="BC60" s="128"/>
    </row>
    <row r="61" spans="2:55" x14ac:dyDescent="0.25">
      <c r="B61" s="129" t="s">
        <v>7</v>
      </c>
      <c r="C61" s="130"/>
      <c r="D61" s="130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30"/>
      <c r="U61" s="131">
        <v>85</v>
      </c>
      <c r="V61" s="131"/>
      <c r="W61" s="131"/>
      <c r="X61" s="131"/>
      <c r="Y61" s="131">
        <v>89</v>
      </c>
      <c r="Z61" s="131"/>
      <c r="AA61" s="131"/>
      <c r="AB61" s="131"/>
      <c r="AC61" s="131">
        <v>88</v>
      </c>
      <c r="AD61" s="131"/>
      <c r="AE61" s="131"/>
      <c r="AF61" s="131"/>
      <c r="AG61" s="131">
        <v>84</v>
      </c>
      <c r="AH61" s="131"/>
      <c r="AI61" s="131"/>
      <c r="AJ61" s="131">
        <f t="shared" si="1"/>
        <v>86.5</v>
      </c>
      <c r="AK61" s="131"/>
      <c r="AL61" s="131"/>
      <c r="AM61" s="131"/>
      <c r="AN61" s="131"/>
      <c r="AO61" s="131"/>
      <c r="AP61" s="127" t="s">
        <v>87</v>
      </c>
      <c r="AQ61" s="127"/>
      <c r="AR61" s="127"/>
      <c r="AS61" s="127"/>
      <c r="AT61" s="127"/>
      <c r="AU61" s="127"/>
      <c r="AV61" s="127"/>
      <c r="AW61" s="127"/>
      <c r="AX61" s="127"/>
      <c r="AY61" s="127"/>
      <c r="AZ61" s="127"/>
      <c r="BA61" s="127"/>
      <c r="BB61" s="127"/>
      <c r="BC61" s="128"/>
    </row>
    <row r="62" spans="2:55" x14ac:dyDescent="0.25">
      <c r="B62" s="132" t="s">
        <v>58</v>
      </c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27">
        <v>77</v>
      </c>
      <c r="V62" s="127"/>
      <c r="W62" s="127"/>
      <c r="X62" s="127"/>
      <c r="Y62" s="127">
        <v>92</v>
      </c>
      <c r="Z62" s="127"/>
      <c r="AA62" s="127"/>
      <c r="AB62" s="127"/>
      <c r="AC62" s="127">
        <v>90</v>
      </c>
      <c r="AD62" s="127"/>
      <c r="AE62" s="127"/>
      <c r="AF62" s="127"/>
      <c r="AG62" s="127">
        <v>85</v>
      </c>
      <c r="AH62" s="127"/>
      <c r="AI62" s="127"/>
      <c r="AJ62" s="131">
        <f t="shared" si="1"/>
        <v>86</v>
      </c>
      <c r="AK62" s="131"/>
      <c r="AL62" s="131"/>
      <c r="AM62" s="131"/>
      <c r="AN62" s="131"/>
      <c r="AO62" s="131"/>
      <c r="AP62" s="127" t="s">
        <v>87</v>
      </c>
      <c r="AQ62" s="127"/>
      <c r="AR62" s="127"/>
      <c r="AS62" s="127"/>
      <c r="AT62" s="127"/>
      <c r="AU62" s="127"/>
      <c r="AV62" s="127"/>
      <c r="AW62" s="127"/>
      <c r="AX62" s="127"/>
      <c r="AY62" s="127"/>
      <c r="AZ62" s="127"/>
      <c r="BA62" s="127"/>
      <c r="BB62" s="127"/>
      <c r="BC62" s="128"/>
    </row>
    <row r="63" spans="2:55" x14ac:dyDescent="0.25">
      <c r="B63" s="132" t="s">
        <v>59</v>
      </c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27">
        <v>88</v>
      </c>
      <c r="V63" s="127"/>
      <c r="W63" s="127"/>
      <c r="X63" s="127"/>
      <c r="Y63" s="127">
        <v>92</v>
      </c>
      <c r="Z63" s="127"/>
      <c r="AA63" s="127"/>
      <c r="AB63" s="127"/>
      <c r="AC63" s="127">
        <v>90</v>
      </c>
      <c r="AD63" s="127"/>
      <c r="AE63" s="127"/>
      <c r="AF63" s="127"/>
      <c r="AG63" s="127">
        <v>85</v>
      </c>
      <c r="AH63" s="127"/>
      <c r="AI63" s="127"/>
      <c r="AJ63" s="131">
        <f t="shared" si="1"/>
        <v>88.75</v>
      </c>
      <c r="AK63" s="131"/>
      <c r="AL63" s="131"/>
      <c r="AM63" s="131"/>
      <c r="AN63" s="131"/>
      <c r="AO63" s="131"/>
      <c r="AP63" s="127" t="s">
        <v>87</v>
      </c>
      <c r="AQ63" s="127"/>
      <c r="AR63" s="127"/>
      <c r="AS63" s="127"/>
      <c r="AT63" s="127"/>
      <c r="AU63" s="127"/>
      <c r="AV63" s="127"/>
      <c r="AW63" s="127"/>
      <c r="AX63" s="127"/>
      <c r="AY63" s="127"/>
      <c r="AZ63" s="127"/>
      <c r="BA63" s="127"/>
      <c r="BB63" s="127"/>
      <c r="BC63" s="128"/>
    </row>
    <row r="64" spans="2:55" x14ac:dyDescent="0.25">
      <c r="B64" s="132" t="s">
        <v>60</v>
      </c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27">
        <v>81</v>
      </c>
      <c r="V64" s="127"/>
      <c r="W64" s="127"/>
      <c r="X64" s="127"/>
      <c r="Y64" s="127">
        <v>91</v>
      </c>
      <c r="Z64" s="127"/>
      <c r="AA64" s="127"/>
      <c r="AB64" s="127"/>
      <c r="AC64" s="127">
        <v>87</v>
      </c>
      <c r="AD64" s="127"/>
      <c r="AE64" s="127"/>
      <c r="AF64" s="127"/>
      <c r="AG64" s="127">
        <v>89</v>
      </c>
      <c r="AH64" s="127"/>
      <c r="AI64" s="127"/>
      <c r="AJ64" s="131">
        <f t="shared" si="1"/>
        <v>87</v>
      </c>
      <c r="AK64" s="131"/>
      <c r="AL64" s="131"/>
      <c r="AM64" s="131"/>
      <c r="AN64" s="131"/>
      <c r="AO64" s="131"/>
      <c r="AP64" s="127" t="s">
        <v>87</v>
      </c>
      <c r="AQ64" s="127"/>
      <c r="AR64" s="127"/>
      <c r="AS64" s="127"/>
      <c r="AT64" s="127"/>
      <c r="AU64" s="127"/>
      <c r="AV64" s="127"/>
      <c r="AW64" s="127"/>
      <c r="AX64" s="127"/>
      <c r="AY64" s="127"/>
      <c r="AZ64" s="127"/>
      <c r="BA64" s="127"/>
      <c r="BB64" s="127"/>
      <c r="BC64" s="128"/>
    </row>
    <row r="65" spans="1:56" x14ac:dyDescent="0.25">
      <c r="B65" s="132" t="s">
        <v>61</v>
      </c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27">
        <v>92</v>
      </c>
      <c r="V65" s="127"/>
      <c r="W65" s="127"/>
      <c r="X65" s="127"/>
      <c r="Y65" s="127">
        <v>80</v>
      </c>
      <c r="Z65" s="127"/>
      <c r="AA65" s="127"/>
      <c r="AB65" s="127"/>
      <c r="AC65" s="127">
        <v>83</v>
      </c>
      <c r="AD65" s="127"/>
      <c r="AE65" s="127"/>
      <c r="AF65" s="127"/>
      <c r="AG65" s="127">
        <v>78</v>
      </c>
      <c r="AH65" s="127"/>
      <c r="AI65" s="127"/>
      <c r="AJ65" s="131">
        <f t="shared" si="1"/>
        <v>83.25</v>
      </c>
      <c r="AK65" s="131"/>
      <c r="AL65" s="131"/>
      <c r="AM65" s="131"/>
      <c r="AN65" s="131"/>
      <c r="AO65" s="131"/>
      <c r="AP65" s="127" t="s">
        <v>87</v>
      </c>
      <c r="AQ65" s="127"/>
      <c r="AR65" s="127"/>
      <c r="AS65" s="127"/>
      <c r="AT65" s="127"/>
      <c r="AU65" s="127"/>
      <c r="AV65" s="127"/>
      <c r="AW65" s="127"/>
      <c r="AX65" s="127"/>
      <c r="AY65" s="127"/>
      <c r="AZ65" s="127"/>
      <c r="BA65" s="127"/>
      <c r="BB65" s="127"/>
      <c r="BC65" s="128"/>
    </row>
    <row r="66" spans="1:56" x14ac:dyDescent="0.25">
      <c r="B66" s="129" t="s">
        <v>89</v>
      </c>
      <c r="C66" s="130"/>
      <c r="D66" s="130"/>
      <c r="E66" s="130"/>
      <c r="F66" s="130"/>
      <c r="G66" s="130"/>
      <c r="H66" s="130"/>
      <c r="I66" s="130"/>
      <c r="J66" s="130"/>
      <c r="K66" s="130"/>
      <c r="L66" s="130"/>
      <c r="M66" s="130"/>
      <c r="N66" s="130"/>
      <c r="O66" s="130"/>
      <c r="P66" s="130"/>
      <c r="Q66" s="130"/>
      <c r="R66" s="130"/>
      <c r="S66" s="130"/>
      <c r="T66" s="130"/>
      <c r="U66" s="127"/>
      <c r="V66" s="127"/>
      <c r="W66" s="127"/>
      <c r="X66" s="127"/>
      <c r="Y66" s="127"/>
      <c r="Z66" s="127"/>
      <c r="AA66" s="127"/>
      <c r="AB66" s="127"/>
      <c r="AC66" s="127"/>
      <c r="AD66" s="127"/>
      <c r="AE66" s="127"/>
      <c r="AF66" s="127"/>
      <c r="AG66" s="127"/>
      <c r="AH66" s="127"/>
      <c r="AI66" s="127"/>
      <c r="AJ66" s="131"/>
      <c r="AK66" s="127"/>
      <c r="AL66" s="127"/>
      <c r="AM66" s="127"/>
      <c r="AN66" s="127"/>
      <c r="AO66" s="127"/>
      <c r="AP66" s="127"/>
      <c r="AQ66" s="127"/>
      <c r="AR66" s="127"/>
      <c r="AS66" s="127"/>
      <c r="AT66" s="127"/>
      <c r="AU66" s="127"/>
      <c r="AV66" s="127"/>
      <c r="AW66" s="127"/>
      <c r="AX66" s="127"/>
      <c r="AY66" s="127"/>
      <c r="AZ66" s="127"/>
      <c r="BA66" s="127"/>
      <c r="BB66" s="127"/>
      <c r="BC66" s="128"/>
    </row>
    <row r="67" spans="1:56" x14ac:dyDescent="0.25">
      <c r="B67" s="86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127"/>
      <c r="V67" s="127"/>
      <c r="W67" s="127"/>
      <c r="X67" s="127"/>
      <c r="Y67" s="127"/>
      <c r="Z67" s="127"/>
      <c r="AA67" s="127"/>
      <c r="AB67" s="127"/>
      <c r="AC67" s="127"/>
      <c r="AD67" s="127"/>
      <c r="AE67" s="127"/>
      <c r="AF67" s="127"/>
      <c r="AG67" s="127"/>
      <c r="AH67" s="127"/>
      <c r="AI67" s="127"/>
      <c r="AJ67" s="127"/>
      <c r="AK67" s="127"/>
      <c r="AL67" s="127"/>
      <c r="AM67" s="127"/>
      <c r="AN67" s="127"/>
      <c r="AO67" s="127"/>
      <c r="AP67" s="127"/>
      <c r="AQ67" s="127"/>
      <c r="AR67" s="127"/>
      <c r="AS67" s="127"/>
      <c r="AT67" s="127"/>
      <c r="AU67" s="127"/>
      <c r="AV67" s="127"/>
      <c r="AW67" s="127"/>
      <c r="AX67" s="127"/>
      <c r="AY67" s="127"/>
      <c r="AZ67" s="127"/>
      <c r="BA67" s="127"/>
      <c r="BB67" s="127"/>
      <c r="BC67" s="128"/>
    </row>
    <row r="68" spans="1:56" x14ac:dyDescent="0.25">
      <c r="B68" s="86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8" t="s">
        <v>9</v>
      </c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9">
        <f>AVERAGE(AJ54:AO61)</f>
        <v>87.75</v>
      </c>
      <c r="AK68" s="90"/>
      <c r="AL68" s="90"/>
      <c r="AM68" s="90"/>
      <c r="AN68" s="90"/>
      <c r="AO68" s="90"/>
      <c r="AP68" s="91" t="s">
        <v>88</v>
      </c>
      <c r="AQ68" s="92"/>
      <c r="AR68" s="92"/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3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94" t="s">
        <v>15</v>
      </c>
      <c r="C70" s="95"/>
      <c r="D70" s="95"/>
      <c r="E70" s="95"/>
      <c r="F70" s="95"/>
      <c r="G70" s="95"/>
      <c r="H70" s="95"/>
      <c r="I70" s="95"/>
      <c r="J70" s="95"/>
      <c r="K70" s="95"/>
      <c r="L70" s="99" t="s">
        <v>64</v>
      </c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2"/>
      <c r="Y70" s="92"/>
      <c r="Z70" s="92"/>
      <c r="AA70" s="92"/>
      <c r="AB70" s="92"/>
      <c r="AC70" s="92"/>
      <c r="AD70" s="92"/>
      <c r="AE70" s="92"/>
      <c r="AF70" s="92"/>
      <c r="AG70" s="99" t="s">
        <v>66</v>
      </c>
      <c r="AH70" s="99"/>
      <c r="AI70" s="99"/>
      <c r="AJ70" s="99"/>
      <c r="AK70" s="99"/>
      <c r="AL70" s="92"/>
      <c r="AM70" s="92"/>
      <c r="AN70" s="92"/>
      <c r="AO70" s="92"/>
      <c r="AP70" s="92"/>
      <c r="AQ70" s="92"/>
      <c r="AR70" s="92"/>
      <c r="AS70" s="92"/>
      <c r="AT70" s="92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104" t="s">
        <v>27</v>
      </c>
      <c r="C72" s="80"/>
      <c r="D72" s="80"/>
      <c r="E72" s="80"/>
      <c r="F72" s="80"/>
      <c r="G72" s="80"/>
      <c r="H72" s="80"/>
      <c r="I72" s="80"/>
      <c r="J72" s="80"/>
      <c r="K72" s="80"/>
      <c r="L72" s="80" t="s">
        <v>10</v>
      </c>
      <c r="M72" s="80"/>
      <c r="N72" s="80"/>
      <c r="O72" s="80"/>
      <c r="P72" s="80"/>
      <c r="Q72" s="80"/>
      <c r="R72" s="80"/>
      <c r="S72" s="80"/>
      <c r="T72" s="80"/>
      <c r="U72" s="80" t="s">
        <v>11</v>
      </c>
      <c r="V72" s="80"/>
      <c r="W72" s="80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1" t="s">
        <v>63</v>
      </c>
      <c r="AI72" s="81"/>
      <c r="AJ72" s="81"/>
      <c r="AK72" s="81"/>
      <c r="AL72" s="81"/>
      <c r="AM72" s="81"/>
      <c r="AN72" s="81"/>
      <c r="AO72" s="81"/>
      <c r="AP72" s="80" t="s">
        <v>12</v>
      </c>
      <c r="AQ72" s="80"/>
      <c r="AR72" s="80"/>
      <c r="AS72" s="80"/>
      <c r="AT72" s="80"/>
      <c r="AU72" s="80"/>
      <c r="AV72" s="80"/>
      <c r="AW72" s="80"/>
      <c r="AX72" s="80"/>
      <c r="AY72" s="80"/>
      <c r="AZ72" s="80"/>
      <c r="BA72" s="80"/>
      <c r="BB72" s="80"/>
      <c r="BC72" s="82"/>
    </row>
    <row r="73" spans="1:56" x14ac:dyDescent="0.25">
      <c r="B73" s="104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1"/>
      <c r="AI73" s="81"/>
      <c r="AJ73" s="81"/>
      <c r="AK73" s="81"/>
      <c r="AL73" s="81"/>
      <c r="AM73" s="81"/>
      <c r="AN73" s="81"/>
      <c r="AO73" s="81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  <c r="BA73" s="80"/>
      <c r="BB73" s="80"/>
      <c r="BC73" s="82"/>
    </row>
    <row r="74" spans="1:56" x14ac:dyDescent="0.25">
      <c r="B74" s="83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5"/>
    </row>
    <row r="75" spans="1:56" ht="14.4" thickBot="1" x14ac:dyDescent="0.3">
      <c r="B75" s="106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  <c r="AI75" s="107"/>
      <c r="AJ75" s="107"/>
      <c r="AK75" s="107"/>
      <c r="AL75" s="107"/>
      <c r="AM75" s="107"/>
      <c r="AN75" s="107"/>
      <c r="AO75" s="107"/>
      <c r="AP75" s="107"/>
      <c r="AQ75" s="107"/>
      <c r="AR75" s="107"/>
      <c r="AS75" s="107"/>
      <c r="AT75" s="107"/>
      <c r="AU75" s="107"/>
      <c r="AV75" s="107"/>
      <c r="AW75" s="107"/>
      <c r="AX75" s="107"/>
      <c r="AY75" s="107"/>
      <c r="AZ75" s="107"/>
      <c r="BA75" s="107"/>
      <c r="BB75" s="107"/>
      <c r="BC75" s="108"/>
    </row>
    <row r="76" spans="1:56" s="6" customFormat="1" ht="7.5" customHeight="1" x14ac:dyDescent="0.25"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</row>
    <row r="77" spans="1:56" ht="18.600000000000001" thickBot="1" x14ac:dyDescent="0.4">
      <c r="A77" s="32"/>
      <c r="B77" s="109" t="s">
        <v>13</v>
      </c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  <c r="AE77" s="110"/>
      <c r="AF77" s="110"/>
      <c r="AG77" s="110"/>
      <c r="AH77" s="110"/>
      <c r="AI77" s="110"/>
      <c r="AJ77" s="110"/>
      <c r="AK77" s="110"/>
      <c r="AL77" s="110"/>
      <c r="AM77" s="110"/>
      <c r="AN77" s="110"/>
      <c r="AO77" s="110"/>
      <c r="AP77" s="110"/>
      <c r="AQ77" s="110"/>
      <c r="AR77" s="110"/>
      <c r="AS77" s="110"/>
      <c r="AT77" s="110"/>
      <c r="AU77" s="110"/>
      <c r="AV77" s="110"/>
      <c r="AW77" s="110"/>
      <c r="AX77" s="110"/>
      <c r="AY77" s="110"/>
      <c r="AZ77" s="110"/>
      <c r="BA77" s="110"/>
      <c r="BB77" s="110"/>
      <c r="BC77" s="111"/>
      <c r="BD77" s="23"/>
    </row>
    <row r="78" spans="1:56" x14ac:dyDescent="0.25">
      <c r="A78" s="33"/>
      <c r="B78" s="96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5"/>
    </row>
    <row r="79" spans="1:56" x14ac:dyDescent="0.25">
      <c r="A79" s="33"/>
      <c r="B79" s="100" t="s">
        <v>67</v>
      </c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9"/>
      <c r="Z79" s="79"/>
      <c r="AA79" s="79"/>
      <c r="AB79" s="102" t="s">
        <v>68</v>
      </c>
      <c r="AC79" s="102"/>
      <c r="AD79" s="102"/>
      <c r="AE79" s="102"/>
      <c r="AF79" s="77"/>
      <c r="AG79" s="77"/>
      <c r="AH79" s="77"/>
      <c r="AI79" s="77"/>
      <c r="AJ79" s="77"/>
      <c r="AK79" s="77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77"/>
      <c r="BC79" s="105"/>
    </row>
    <row r="80" spans="1:56" x14ac:dyDescent="0.25">
      <c r="A80" s="33"/>
      <c r="B80" s="100" t="s">
        <v>35</v>
      </c>
      <c r="C80" s="101"/>
      <c r="D80" s="101"/>
      <c r="E80" s="101"/>
      <c r="F80" s="101"/>
      <c r="G80" s="101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103" t="s">
        <v>28</v>
      </c>
      <c r="Z80" s="103"/>
      <c r="AA80" s="103"/>
      <c r="AB80" s="103"/>
      <c r="AC80" s="77"/>
      <c r="AD80" s="77"/>
      <c r="AE80" s="77"/>
      <c r="AF80" s="77"/>
      <c r="AG80" s="77"/>
      <c r="AH80" s="77"/>
      <c r="AI80" s="77"/>
      <c r="AJ80" s="101" t="s">
        <v>70</v>
      </c>
      <c r="AK80" s="101"/>
      <c r="AL80" s="101"/>
      <c r="AM80" s="101"/>
      <c r="AN80" s="101"/>
      <c r="AO80" s="101"/>
      <c r="AP80" s="101"/>
      <c r="AQ80" s="101"/>
      <c r="AR80" s="101"/>
      <c r="AS80" s="79"/>
      <c r="AT80" s="77"/>
      <c r="AU80" s="77"/>
      <c r="AV80" s="77"/>
      <c r="AW80" s="77"/>
      <c r="AX80" s="77"/>
      <c r="AY80" s="77"/>
      <c r="AZ80" s="77"/>
      <c r="BA80" s="77"/>
      <c r="BB80" s="77"/>
      <c r="BC80" s="105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97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43"/>
      <c r="Q82" s="43"/>
      <c r="R82" s="43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5"/>
    </row>
    <row r="83" spans="1:55" x14ac:dyDescent="0.25">
      <c r="A83" s="33"/>
      <c r="B83" s="97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43"/>
      <c r="Q83" s="43"/>
      <c r="R83" s="43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  <c r="AH83" s="98"/>
      <c r="AI83" s="98"/>
      <c r="AJ83" s="98"/>
      <c r="AK83" s="98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5"/>
    </row>
    <row r="84" spans="1:55" s="31" customFormat="1" x14ac:dyDescent="0.25">
      <c r="A84" s="33"/>
      <c r="B84" s="72" t="s">
        <v>14</v>
      </c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43"/>
      <c r="Q84" s="43"/>
      <c r="R84" s="43"/>
      <c r="S84" s="73" t="s">
        <v>71</v>
      </c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4"/>
      <c r="AM84" s="74"/>
      <c r="AN84" s="74"/>
      <c r="AO84" s="74"/>
      <c r="AP84" s="74"/>
      <c r="AQ84" s="74" t="s">
        <v>72</v>
      </c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5"/>
    </row>
    <row r="85" spans="1:55" s="31" customFormat="1" ht="14.4" x14ac:dyDescent="0.3">
      <c r="A85" s="3"/>
      <c r="B85" s="44" t="s">
        <v>93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</mergeCells>
  <printOptions horizontalCentered="1" verticalCentered="1"/>
  <pageMargins left="0.25" right="0.25" top="0.75" bottom="0.75" header="0.3" footer="0.3"/>
  <pageSetup paperSize="14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8"/>
  <sheetViews>
    <sheetView showGridLines="0" topLeftCell="A71" zoomScaleNormal="100" zoomScaleSheetLayoutView="75" workbookViewId="0">
      <selection activeCell="AJ51" sqref="AJ51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68"/>
      <c r="BB1" s="168"/>
      <c r="BC1" s="168"/>
    </row>
    <row r="2" spans="2:55" ht="4.5" customHeight="1" thickBot="1" x14ac:dyDescent="0.3"/>
    <row r="3" spans="2:55" x14ac:dyDescent="0.25">
      <c r="B3" s="121" t="s">
        <v>42</v>
      </c>
      <c r="C3" s="122"/>
      <c r="D3" s="122"/>
      <c r="E3" s="207" t="s">
        <v>108</v>
      </c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118" t="s">
        <v>28</v>
      </c>
      <c r="R3" s="118"/>
      <c r="S3" s="118"/>
      <c r="T3" s="118"/>
      <c r="U3" s="140">
        <v>428552</v>
      </c>
      <c r="V3" s="140"/>
      <c r="W3" s="140"/>
      <c r="X3" s="140"/>
      <c r="Y3" s="140"/>
      <c r="Z3" s="140"/>
      <c r="AA3" s="118" t="s">
        <v>41</v>
      </c>
      <c r="AB3" s="118"/>
      <c r="AC3" s="118"/>
      <c r="AD3" s="140" t="s">
        <v>109</v>
      </c>
      <c r="AE3" s="140"/>
      <c r="AF3" s="140"/>
      <c r="AG3" s="140"/>
      <c r="AH3" s="140"/>
      <c r="AI3" s="140"/>
      <c r="AJ3" s="140"/>
      <c r="AK3" s="140"/>
      <c r="AL3" s="140"/>
      <c r="AM3" s="122" t="s">
        <v>40</v>
      </c>
      <c r="AN3" s="122"/>
      <c r="AO3" s="122"/>
      <c r="AP3" s="140" t="s">
        <v>110</v>
      </c>
      <c r="AQ3" s="140"/>
      <c r="AR3" s="140"/>
      <c r="AS3" s="140"/>
      <c r="AT3" s="140"/>
      <c r="AU3" s="140"/>
      <c r="AV3" s="140"/>
      <c r="AW3" s="140"/>
      <c r="AX3" s="140"/>
      <c r="AY3" s="118" t="s">
        <v>55</v>
      </c>
      <c r="AZ3" s="118"/>
      <c r="BA3" s="118"/>
      <c r="BB3" s="140" t="s">
        <v>111</v>
      </c>
      <c r="BC3" s="141"/>
    </row>
    <row r="4" spans="2:55" x14ac:dyDescent="0.25">
      <c r="B4" s="120" t="s">
        <v>47</v>
      </c>
      <c r="C4" s="101"/>
      <c r="D4" s="101"/>
      <c r="E4" s="101"/>
      <c r="F4" s="101"/>
      <c r="G4" s="101"/>
      <c r="H4" s="101"/>
      <c r="I4" s="116">
        <v>9</v>
      </c>
      <c r="J4" s="116"/>
      <c r="K4" s="73" t="s">
        <v>46</v>
      </c>
      <c r="L4" s="73"/>
      <c r="M4" s="73"/>
      <c r="N4" s="210" t="s">
        <v>112</v>
      </c>
      <c r="O4" s="210"/>
      <c r="P4" s="210"/>
      <c r="Q4" s="210"/>
      <c r="R4" s="124" t="s">
        <v>45</v>
      </c>
      <c r="S4" s="124"/>
      <c r="T4" s="124"/>
      <c r="U4" s="124"/>
      <c r="V4" s="116" t="s">
        <v>101</v>
      </c>
      <c r="W4" s="116"/>
      <c r="X4" s="116"/>
      <c r="Y4" s="116"/>
      <c r="Z4" s="116"/>
      <c r="AA4" s="102" t="s">
        <v>44</v>
      </c>
      <c r="AB4" s="102"/>
      <c r="AC4" s="102"/>
      <c r="AD4" s="102"/>
      <c r="AE4" s="102"/>
      <c r="AF4" s="102"/>
      <c r="AG4" s="102"/>
      <c r="AH4" s="102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103" t="s">
        <v>43</v>
      </c>
      <c r="AT4" s="103"/>
      <c r="AU4" s="103"/>
      <c r="AV4" s="103"/>
      <c r="AW4" s="125"/>
      <c r="AX4" s="125"/>
      <c r="AY4" s="125"/>
      <c r="AZ4" s="125"/>
      <c r="BA4" s="125"/>
      <c r="BB4" s="125"/>
      <c r="BC4" s="126"/>
    </row>
    <row r="5" spans="2:55" ht="2.25" customHeight="1" x14ac:dyDescent="0.25">
      <c r="B5" s="76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7"/>
      <c r="AQ5" s="77"/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8"/>
    </row>
    <row r="6" spans="2:55" ht="16.5" customHeight="1" x14ac:dyDescent="0.25">
      <c r="B6" s="183" t="s">
        <v>26</v>
      </c>
      <c r="C6" s="184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4"/>
      <c r="Q6" s="184"/>
      <c r="R6" s="184"/>
      <c r="S6" s="184"/>
      <c r="T6" s="185"/>
      <c r="U6" s="208" t="s">
        <v>29</v>
      </c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7"/>
      <c r="AJ6" s="191" t="s">
        <v>62</v>
      </c>
      <c r="AK6" s="192"/>
      <c r="AL6" s="192"/>
      <c r="AM6" s="192"/>
      <c r="AN6" s="192"/>
      <c r="AO6" s="193"/>
      <c r="AP6" s="189" t="s">
        <v>8</v>
      </c>
      <c r="AQ6" s="184"/>
      <c r="AR6" s="184"/>
      <c r="AS6" s="184"/>
      <c r="AT6" s="184"/>
      <c r="AU6" s="184"/>
      <c r="AV6" s="184"/>
      <c r="AW6" s="184"/>
      <c r="AX6" s="184"/>
      <c r="AY6" s="184"/>
      <c r="AZ6" s="184"/>
      <c r="BA6" s="184"/>
      <c r="BB6" s="184"/>
      <c r="BC6" s="197"/>
    </row>
    <row r="7" spans="2:55" x14ac:dyDescent="0.25">
      <c r="B7" s="186"/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8"/>
      <c r="U7" s="208">
        <v>1</v>
      </c>
      <c r="V7" s="116"/>
      <c r="W7" s="116"/>
      <c r="X7" s="117"/>
      <c r="Y7" s="208">
        <v>2</v>
      </c>
      <c r="Z7" s="116"/>
      <c r="AA7" s="116"/>
      <c r="AB7" s="117"/>
      <c r="AC7" s="208">
        <v>3</v>
      </c>
      <c r="AD7" s="116"/>
      <c r="AE7" s="116"/>
      <c r="AF7" s="117"/>
      <c r="AG7" s="208">
        <v>4</v>
      </c>
      <c r="AH7" s="116"/>
      <c r="AI7" s="117"/>
      <c r="AJ7" s="194"/>
      <c r="AK7" s="195"/>
      <c r="AL7" s="195"/>
      <c r="AM7" s="195"/>
      <c r="AN7" s="195"/>
      <c r="AO7" s="196"/>
      <c r="AP7" s="190"/>
      <c r="AQ7" s="187"/>
      <c r="AR7" s="187"/>
      <c r="AS7" s="187"/>
      <c r="AT7" s="187"/>
      <c r="AU7" s="187"/>
      <c r="AV7" s="187"/>
      <c r="AW7" s="187"/>
      <c r="AX7" s="187"/>
      <c r="AY7" s="187"/>
      <c r="AZ7" s="187"/>
      <c r="BA7" s="187"/>
      <c r="BB7" s="187"/>
      <c r="BC7" s="198"/>
    </row>
    <row r="8" spans="2:55" x14ac:dyDescent="0.25">
      <c r="B8" s="158" t="s">
        <v>1</v>
      </c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60"/>
      <c r="U8" s="161">
        <v>95</v>
      </c>
      <c r="V8" s="162"/>
      <c r="W8" s="162"/>
      <c r="X8" s="163"/>
      <c r="Y8" s="161">
        <v>95</v>
      </c>
      <c r="Z8" s="162"/>
      <c r="AA8" s="162"/>
      <c r="AB8" s="163"/>
      <c r="AC8" s="161">
        <v>95</v>
      </c>
      <c r="AD8" s="162"/>
      <c r="AE8" s="162"/>
      <c r="AF8" s="163"/>
      <c r="AG8" s="161">
        <v>96</v>
      </c>
      <c r="AH8" s="162"/>
      <c r="AI8" s="163"/>
      <c r="AJ8" s="164">
        <f>AVERAGE(AG8,AC8,Y8,U8)</f>
        <v>95.25</v>
      </c>
      <c r="AK8" s="165"/>
      <c r="AL8" s="165"/>
      <c r="AM8" s="165"/>
      <c r="AN8" s="165"/>
      <c r="AO8" s="166"/>
      <c r="AP8" s="127" t="s">
        <v>87</v>
      </c>
      <c r="AQ8" s="127"/>
      <c r="AR8" s="127"/>
      <c r="AS8" s="127"/>
      <c r="AT8" s="127"/>
      <c r="AU8" s="127"/>
      <c r="AV8" s="127"/>
      <c r="AW8" s="127"/>
      <c r="AX8" s="127"/>
      <c r="AY8" s="127"/>
      <c r="AZ8" s="127"/>
      <c r="BA8" s="127"/>
      <c r="BB8" s="127"/>
      <c r="BC8" s="128"/>
    </row>
    <row r="9" spans="2:55" x14ac:dyDescent="0.25">
      <c r="B9" s="158" t="s">
        <v>2</v>
      </c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60"/>
      <c r="U9" s="161">
        <v>85</v>
      </c>
      <c r="V9" s="162"/>
      <c r="W9" s="162"/>
      <c r="X9" s="163"/>
      <c r="Y9" s="161">
        <v>92</v>
      </c>
      <c r="Z9" s="162"/>
      <c r="AA9" s="162"/>
      <c r="AB9" s="163"/>
      <c r="AC9" s="161">
        <v>93</v>
      </c>
      <c r="AD9" s="162"/>
      <c r="AE9" s="162"/>
      <c r="AF9" s="163"/>
      <c r="AG9" s="161">
        <v>96</v>
      </c>
      <c r="AH9" s="162"/>
      <c r="AI9" s="163"/>
      <c r="AJ9" s="164">
        <f t="shared" ref="AJ9:AJ19" si="0">AVERAGE(AG9,AC9,Y9,U9)</f>
        <v>91.5</v>
      </c>
      <c r="AK9" s="165"/>
      <c r="AL9" s="165"/>
      <c r="AM9" s="165"/>
      <c r="AN9" s="165"/>
      <c r="AO9" s="166"/>
      <c r="AP9" s="127" t="s">
        <v>87</v>
      </c>
      <c r="AQ9" s="127"/>
      <c r="AR9" s="127"/>
      <c r="AS9" s="127"/>
      <c r="AT9" s="127"/>
      <c r="AU9" s="127"/>
      <c r="AV9" s="127"/>
      <c r="AW9" s="127"/>
      <c r="AX9" s="127"/>
      <c r="AY9" s="127"/>
      <c r="AZ9" s="127"/>
      <c r="BA9" s="127"/>
      <c r="BB9" s="127"/>
      <c r="BC9" s="128"/>
    </row>
    <row r="10" spans="2:55" x14ac:dyDescent="0.25">
      <c r="B10" s="158" t="s">
        <v>3</v>
      </c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60"/>
      <c r="U10" s="161">
        <v>90</v>
      </c>
      <c r="V10" s="162"/>
      <c r="W10" s="162"/>
      <c r="X10" s="163"/>
      <c r="Y10" s="161">
        <v>88</v>
      </c>
      <c r="Z10" s="162"/>
      <c r="AA10" s="162"/>
      <c r="AB10" s="163"/>
      <c r="AC10" s="161">
        <v>90</v>
      </c>
      <c r="AD10" s="162"/>
      <c r="AE10" s="162"/>
      <c r="AF10" s="163"/>
      <c r="AG10" s="161">
        <v>93</v>
      </c>
      <c r="AH10" s="162"/>
      <c r="AI10" s="163"/>
      <c r="AJ10" s="164">
        <f t="shared" si="0"/>
        <v>90.25</v>
      </c>
      <c r="AK10" s="165"/>
      <c r="AL10" s="165"/>
      <c r="AM10" s="165"/>
      <c r="AN10" s="165"/>
      <c r="AO10" s="166"/>
      <c r="AP10" s="127" t="s">
        <v>87</v>
      </c>
      <c r="AQ10" s="127"/>
      <c r="AR10" s="127"/>
      <c r="AS10" s="127"/>
      <c r="AT10" s="127"/>
      <c r="AU10" s="127"/>
      <c r="AV10" s="127"/>
      <c r="AW10" s="127"/>
      <c r="AX10" s="127"/>
      <c r="AY10" s="127"/>
      <c r="AZ10" s="127"/>
      <c r="BA10" s="127"/>
      <c r="BB10" s="127"/>
      <c r="BC10" s="128"/>
    </row>
    <row r="11" spans="2:55" x14ac:dyDescent="0.25">
      <c r="B11" s="158" t="s">
        <v>57</v>
      </c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60"/>
      <c r="U11" s="161">
        <v>90</v>
      </c>
      <c r="V11" s="162"/>
      <c r="W11" s="162"/>
      <c r="X11" s="163"/>
      <c r="Y11" s="161">
        <v>89</v>
      </c>
      <c r="Z11" s="162"/>
      <c r="AA11" s="162"/>
      <c r="AB11" s="163"/>
      <c r="AC11" s="161">
        <v>90</v>
      </c>
      <c r="AD11" s="162"/>
      <c r="AE11" s="162"/>
      <c r="AF11" s="163"/>
      <c r="AG11" s="161">
        <v>96</v>
      </c>
      <c r="AH11" s="162"/>
      <c r="AI11" s="163"/>
      <c r="AJ11" s="164">
        <f t="shared" si="0"/>
        <v>91.25</v>
      </c>
      <c r="AK11" s="165"/>
      <c r="AL11" s="165"/>
      <c r="AM11" s="165"/>
      <c r="AN11" s="165"/>
      <c r="AO11" s="166"/>
      <c r="AP11" s="127" t="s">
        <v>87</v>
      </c>
      <c r="AQ11" s="127"/>
      <c r="AR11" s="127"/>
      <c r="AS11" s="127"/>
      <c r="AT11" s="127"/>
      <c r="AU11" s="127"/>
      <c r="AV11" s="127"/>
      <c r="AW11" s="127"/>
      <c r="AX11" s="127"/>
      <c r="AY11" s="127"/>
      <c r="AZ11" s="127"/>
      <c r="BA11" s="127"/>
      <c r="BB11" s="127"/>
      <c r="BC11" s="128"/>
    </row>
    <row r="12" spans="2:55" x14ac:dyDescent="0.25">
      <c r="B12" s="158" t="s">
        <v>4</v>
      </c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60"/>
      <c r="U12" s="161">
        <v>91</v>
      </c>
      <c r="V12" s="162"/>
      <c r="W12" s="162"/>
      <c r="X12" s="163"/>
      <c r="Y12" s="161">
        <v>93</v>
      </c>
      <c r="Z12" s="162"/>
      <c r="AA12" s="162"/>
      <c r="AB12" s="163"/>
      <c r="AC12" s="161">
        <v>91</v>
      </c>
      <c r="AD12" s="162"/>
      <c r="AE12" s="162"/>
      <c r="AF12" s="163"/>
      <c r="AG12" s="161">
        <v>95</v>
      </c>
      <c r="AH12" s="162"/>
      <c r="AI12" s="163"/>
      <c r="AJ12" s="164">
        <f t="shared" si="0"/>
        <v>92.5</v>
      </c>
      <c r="AK12" s="165"/>
      <c r="AL12" s="165"/>
      <c r="AM12" s="165"/>
      <c r="AN12" s="165"/>
      <c r="AO12" s="166"/>
      <c r="AP12" s="127" t="s">
        <v>87</v>
      </c>
      <c r="AQ12" s="127"/>
      <c r="AR12" s="127"/>
      <c r="AS12" s="127"/>
      <c r="AT12" s="127"/>
      <c r="AU12" s="127"/>
      <c r="AV12" s="127"/>
      <c r="AW12" s="127"/>
      <c r="AX12" s="127"/>
      <c r="AY12" s="127"/>
      <c r="AZ12" s="127"/>
      <c r="BA12" s="127"/>
      <c r="BB12" s="127"/>
      <c r="BC12" s="128"/>
    </row>
    <row r="13" spans="2:55" x14ac:dyDescent="0.25">
      <c r="B13" s="158" t="s">
        <v>5</v>
      </c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60"/>
      <c r="U13" s="161">
        <v>86</v>
      </c>
      <c r="V13" s="162"/>
      <c r="W13" s="162"/>
      <c r="X13" s="163"/>
      <c r="Y13" s="161">
        <v>86</v>
      </c>
      <c r="Z13" s="162"/>
      <c r="AA13" s="162"/>
      <c r="AB13" s="163"/>
      <c r="AC13" s="161">
        <v>86</v>
      </c>
      <c r="AD13" s="162"/>
      <c r="AE13" s="162"/>
      <c r="AF13" s="163"/>
      <c r="AG13" s="161">
        <v>95</v>
      </c>
      <c r="AH13" s="162"/>
      <c r="AI13" s="163"/>
      <c r="AJ13" s="164">
        <f t="shared" si="0"/>
        <v>88.25</v>
      </c>
      <c r="AK13" s="165"/>
      <c r="AL13" s="165"/>
      <c r="AM13" s="165"/>
      <c r="AN13" s="165"/>
      <c r="AO13" s="166"/>
      <c r="AP13" s="127" t="s">
        <v>87</v>
      </c>
      <c r="AQ13" s="127"/>
      <c r="AR13" s="127"/>
      <c r="AS13" s="127"/>
      <c r="AT13" s="127"/>
      <c r="AU13" s="127"/>
      <c r="AV13" s="127"/>
      <c r="AW13" s="127"/>
      <c r="AX13" s="127"/>
      <c r="AY13" s="127"/>
      <c r="AZ13" s="127"/>
      <c r="BA13" s="127"/>
      <c r="BB13" s="127"/>
      <c r="BC13" s="128"/>
    </row>
    <row r="14" spans="2:55" x14ac:dyDescent="0.25">
      <c r="B14" s="158" t="s">
        <v>6</v>
      </c>
      <c r="C14" s="159"/>
      <c r="D14" s="159"/>
      <c r="E14" s="159"/>
      <c r="F14" s="159"/>
      <c r="G14" s="159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60"/>
      <c r="U14" s="161">
        <v>86</v>
      </c>
      <c r="V14" s="162"/>
      <c r="W14" s="162"/>
      <c r="X14" s="163"/>
      <c r="Y14" s="161">
        <v>86</v>
      </c>
      <c r="Z14" s="162"/>
      <c r="AA14" s="162"/>
      <c r="AB14" s="163"/>
      <c r="AC14" s="161">
        <v>85</v>
      </c>
      <c r="AD14" s="162"/>
      <c r="AE14" s="162"/>
      <c r="AF14" s="163"/>
      <c r="AG14" s="161">
        <v>91</v>
      </c>
      <c r="AH14" s="162"/>
      <c r="AI14" s="163"/>
      <c r="AJ14" s="164">
        <f t="shared" si="0"/>
        <v>87</v>
      </c>
      <c r="AK14" s="165"/>
      <c r="AL14" s="165"/>
      <c r="AM14" s="165"/>
      <c r="AN14" s="165"/>
      <c r="AO14" s="166"/>
      <c r="AP14" s="127" t="s">
        <v>87</v>
      </c>
      <c r="AQ14" s="127"/>
      <c r="AR14" s="127"/>
      <c r="AS14" s="127"/>
      <c r="AT14" s="127"/>
      <c r="AU14" s="127"/>
      <c r="AV14" s="127"/>
      <c r="AW14" s="127"/>
      <c r="AX14" s="127"/>
      <c r="AY14" s="127"/>
      <c r="AZ14" s="127"/>
      <c r="BA14" s="127"/>
      <c r="BB14" s="127"/>
      <c r="BC14" s="128"/>
    </row>
    <row r="15" spans="2:55" x14ac:dyDescent="0.25">
      <c r="B15" s="158" t="s">
        <v>7</v>
      </c>
      <c r="C15" s="159"/>
      <c r="D15" s="159"/>
      <c r="E15" s="159"/>
      <c r="F15" s="159"/>
      <c r="G15" s="159"/>
      <c r="H15" s="159"/>
      <c r="I15" s="159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60"/>
      <c r="U15" s="161">
        <v>85</v>
      </c>
      <c r="V15" s="162"/>
      <c r="W15" s="162"/>
      <c r="X15" s="163"/>
      <c r="Y15" s="161">
        <v>90</v>
      </c>
      <c r="Z15" s="162"/>
      <c r="AA15" s="162"/>
      <c r="AB15" s="163"/>
      <c r="AC15" s="161">
        <v>90</v>
      </c>
      <c r="AD15" s="162"/>
      <c r="AE15" s="162"/>
      <c r="AF15" s="163"/>
      <c r="AG15" s="161">
        <v>89</v>
      </c>
      <c r="AH15" s="162"/>
      <c r="AI15" s="163"/>
      <c r="AJ15" s="164">
        <f t="shared" si="0"/>
        <v>88.5</v>
      </c>
      <c r="AK15" s="165"/>
      <c r="AL15" s="165"/>
      <c r="AM15" s="165"/>
      <c r="AN15" s="165"/>
      <c r="AO15" s="166"/>
      <c r="AP15" s="127" t="s">
        <v>87</v>
      </c>
      <c r="AQ15" s="127"/>
      <c r="AR15" s="127"/>
      <c r="AS15" s="127"/>
      <c r="AT15" s="127"/>
      <c r="AU15" s="127"/>
      <c r="AV15" s="127"/>
      <c r="AW15" s="127"/>
      <c r="AX15" s="127"/>
      <c r="AY15" s="127"/>
      <c r="AZ15" s="127"/>
      <c r="BA15" s="127"/>
      <c r="BB15" s="127"/>
      <c r="BC15" s="128"/>
    </row>
    <row r="16" spans="2:55" x14ac:dyDescent="0.25">
      <c r="B16" s="204" t="s">
        <v>58</v>
      </c>
      <c r="C16" s="205"/>
      <c r="D16" s="205"/>
      <c r="E16" s="205"/>
      <c r="F16" s="205"/>
      <c r="G16" s="205"/>
      <c r="H16" s="205"/>
      <c r="I16" s="205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6"/>
      <c r="U16" s="161">
        <v>83</v>
      </c>
      <c r="V16" s="162"/>
      <c r="W16" s="162"/>
      <c r="X16" s="163"/>
      <c r="Y16" s="161">
        <v>90</v>
      </c>
      <c r="Z16" s="162"/>
      <c r="AA16" s="162"/>
      <c r="AB16" s="163"/>
      <c r="AC16" s="161">
        <v>85</v>
      </c>
      <c r="AD16" s="162"/>
      <c r="AE16" s="162"/>
      <c r="AF16" s="163"/>
      <c r="AG16" s="161">
        <v>88</v>
      </c>
      <c r="AH16" s="162"/>
      <c r="AI16" s="163"/>
      <c r="AJ16" s="164">
        <f t="shared" si="0"/>
        <v>86.5</v>
      </c>
      <c r="AK16" s="165"/>
      <c r="AL16" s="165"/>
      <c r="AM16" s="165"/>
      <c r="AN16" s="165"/>
      <c r="AO16" s="166"/>
      <c r="AP16" s="127" t="s">
        <v>87</v>
      </c>
      <c r="AQ16" s="127"/>
      <c r="AR16" s="127"/>
      <c r="AS16" s="127"/>
      <c r="AT16" s="127"/>
      <c r="AU16" s="127"/>
      <c r="AV16" s="127"/>
      <c r="AW16" s="127"/>
      <c r="AX16" s="127"/>
      <c r="AY16" s="127"/>
      <c r="AZ16" s="127"/>
      <c r="BA16" s="127"/>
      <c r="BB16" s="127"/>
      <c r="BC16" s="128"/>
    </row>
    <row r="17" spans="2:56" x14ac:dyDescent="0.25">
      <c r="B17" s="204" t="s">
        <v>59</v>
      </c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6"/>
      <c r="U17" s="161">
        <v>82</v>
      </c>
      <c r="V17" s="162"/>
      <c r="W17" s="162"/>
      <c r="X17" s="163"/>
      <c r="Y17" s="161">
        <v>92</v>
      </c>
      <c r="Z17" s="162"/>
      <c r="AA17" s="162"/>
      <c r="AB17" s="163"/>
      <c r="AC17" s="161">
        <v>89</v>
      </c>
      <c r="AD17" s="162"/>
      <c r="AE17" s="162"/>
      <c r="AF17" s="163"/>
      <c r="AG17" s="161">
        <v>86</v>
      </c>
      <c r="AH17" s="162"/>
      <c r="AI17" s="163"/>
      <c r="AJ17" s="164">
        <f t="shared" si="0"/>
        <v>87.25</v>
      </c>
      <c r="AK17" s="165"/>
      <c r="AL17" s="165"/>
      <c r="AM17" s="165"/>
      <c r="AN17" s="165"/>
      <c r="AO17" s="166"/>
      <c r="AP17" s="127" t="s">
        <v>87</v>
      </c>
      <c r="AQ17" s="127"/>
      <c r="AR17" s="127"/>
      <c r="AS17" s="127"/>
      <c r="AT17" s="127"/>
      <c r="AU17" s="127"/>
      <c r="AV17" s="127"/>
      <c r="AW17" s="127"/>
      <c r="AX17" s="127"/>
      <c r="AY17" s="127"/>
      <c r="AZ17" s="127"/>
      <c r="BA17" s="127"/>
      <c r="BB17" s="127"/>
      <c r="BC17" s="128"/>
    </row>
    <row r="18" spans="2:56" x14ac:dyDescent="0.25">
      <c r="B18" s="204" t="s">
        <v>60</v>
      </c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6"/>
      <c r="U18" s="161">
        <v>90</v>
      </c>
      <c r="V18" s="162"/>
      <c r="W18" s="162"/>
      <c r="X18" s="163"/>
      <c r="Y18" s="161">
        <v>92</v>
      </c>
      <c r="Z18" s="162"/>
      <c r="AA18" s="162"/>
      <c r="AB18" s="163"/>
      <c r="AC18" s="161">
        <v>93</v>
      </c>
      <c r="AD18" s="162"/>
      <c r="AE18" s="162"/>
      <c r="AF18" s="163"/>
      <c r="AG18" s="161">
        <v>90</v>
      </c>
      <c r="AH18" s="162"/>
      <c r="AI18" s="163"/>
      <c r="AJ18" s="164">
        <f t="shared" si="0"/>
        <v>91.25</v>
      </c>
      <c r="AK18" s="165"/>
      <c r="AL18" s="165"/>
      <c r="AM18" s="165"/>
      <c r="AN18" s="165"/>
      <c r="AO18" s="166"/>
      <c r="AP18" s="127" t="s">
        <v>87</v>
      </c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27"/>
      <c r="BB18" s="127"/>
      <c r="BC18" s="128"/>
    </row>
    <row r="19" spans="2:56" x14ac:dyDescent="0.25">
      <c r="B19" s="204" t="s">
        <v>61</v>
      </c>
      <c r="C19" s="205"/>
      <c r="D19" s="205"/>
      <c r="E19" s="205"/>
      <c r="F19" s="205"/>
      <c r="G19" s="205"/>
      <c r="H19" s="205"/>
      <c r="I19" s="205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6"/>
      <c r="U19" s="161">
        <v>86</v>
      </c>
      <c r="V19" s="162"/>
      <c r="W19" s="162"/>
      <c r="X19" s="163"/>
      <c r="Y19" s="161">
        <v>86</v>
      </c>
      <c r="Z19" s="162"/>
      <c r="AA19" s="162"/>
      <c r="AB19" s="163"/>
      <c r="AC19" s="161">
        <v>92</v>
      </c>
      <c r="AD19" s="162"/>
      <c r="AE19" s="162"/>
      <c r="AF19" s="163"/>
      <c r="AG19" s="161">
        <v>92</v>
      </c>
      <c r="AH19" s="162"/>
      <c r="AI19" s="163"/>
      <c r="AJ19" s="164">
        <f t="shared" si="0"/>
        <v>89</v>
      </c>
      <c r="AK19" s="165"/>
      <c r="AL19" s="165"/>
      <c r="AM19" s="165"/>
      <c r="AN19" s="165"/>
      <c r="AO19" s="166"/>
      <c r="AP19" s="127" t="s">
        <v>87</v>
      </c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8"/>
    </row>
    <row r="20" spans="2:56" s="48" customFormat="1" x14ac:dyDescent="0.25">
      <c r="B20" s="60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2"/>
      <c r="U20" s="56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9"/>
      <c r="AJ20" s="63"/>
      <c r="AK20" s="64"/>
      <c r="AL20" s="64"/>
      <c r="AM20" s="64"/>
      <c r="AN20" s="64"/>
      <c r="AO20" s="65"/>
      <c r="AP20" s="56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8"/>
    </row>
    <row r="21" spans="2:56" s="48" customFormat="1" x14ac:dyDescent="0.25">
      <c r="B21" s="149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1"/>
      <c r="U21" s="152" t="s">
        <v>9</v>
      </c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4"/>
      <c r="AJ21" s="155">
        <v>91</v>
      </c>
      <c r="AK21" s="156"/>
      <c r="AL21" s="156"/>
      <c r="AM21" s="156"/>
      <c r="AN21" s="156"/>
      <c r="AO21" s="157"/>
      <c r="AP21" s="91" t="s">
        <v>88</v>
      </c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3"/>
    </row>
    <row r="22" spans="2:56" s="48" customFormat="1" x14ac:dyDescent="0.25">
      <c r="B22" s="49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1"/>
      <c r="U22" s="52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4"/>
      <c r="AJ22" s="55"/>
      <c r="AK22" s="66"/>
      <c r="AL22" s="66"/>
      <c r="AM22" s="66"/>
      <c r="AN22" s="66"/>
      <c r="AO22" s="67"/>
      <c r="AP22" s="45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7"/>
    </row>
    <row r="23" spans="2:56" x14ac:dyDescent="0.25">
      <c r="B23" s="158" t="s">
        <v>113</v>
      </c>
      <c r="C23" s="159"/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60"/>
      <c r="U23" s="161">
        <v>91</v>
      </c>
      <c r="V23" s="162"/>
      <c r="W23" s="162"/>
      <c r="X23" s="163"/>
      <c r="Y23" s="161">
        <v>92</v>
      </c>
      <c r="Z23" s="162"/>
      <c r="AA23" s="162"/>
      <c r="AB23" s="163"/>
      <c r="AC23" s="161">
        <v>92</v>
      </c>
      <c r="AD23" s="162"/>
      <c r="AE23" s="162"/>
      <c r="AF23" s="163"/>
      <c r="AG23" s="161">
        <v>95</v>
      </c>
      <c r="AH23" s="162"/>
      <c r="AI23" s="163"/>
      <c r="AJ23" s="164">
        <v>93</v>
      </c>
      <c r="AK23" s="165"/>
      <c r="AL23" s="165"/>
      <c r="AM23" s="165"/>
      <c r="AN23" s="165"/>
      <c r="AO23" s="166"/>
      <c r="AP23" s="161" t="s">
        <v>87</v>
      </c>
      <c r="AQ23" s="162"/>
      <c r="AR23" s="162"/>
      <c r="AS23" s="162"/>
      <c r="AT23" s="162"/>
      <c r="AU23" s="162"/>
      <c r="AV23" s="162"/>
      <c r="AW23" s="162"/>
      <c r="AX23" s="162"/>
      <c r="AY23" s="162"/>
      <c r="AZ23" s="162"/>
      <c r="BA23" s="162"/>
      <c r="BB23" s="162"/>
      <c r="BC23" s="167"/>
    </row>
    <row r="24" spans="2:56" s="48" customFormat="1" x14ac:dyDescent="0.25">
      <c r="B24" s="68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70"/>
      <c r="AK24" s="70"/>
      <c r="AL24" s="70"/>
      <c r="AM24" s="70"/>
      <c r="AN24" s="70"/>
      <c r="AO24" s="70"/>
      <c r="AP24" s="69"/>
      <c r="AQ24" s="69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71"/>
    </row>
    <row r="25" spans="2:56" ht="6" customHeight="1" x14ac:dyDescent="0.25"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9"/>
    </row>
    <row r="26" spans="2:56" ht="16.5" customHeight="1" x14ac:dyDescent="0.25">
      <c r="B26" s="94" t="s">
        <v>15</v>
      </c>
      <c r="C26" s="95"/>
      <c r="D26" s="95"/>
      <c r="E26" s="95"/>
      <c r="F26" s="95"/>
      <c r="G26" s="95"/>
      <c r="H26" s="95"/>
      <c r="I26" s="95"/>
      <c r="J26" s="95"/>
      <c r="K26" s="202"/>
      <c r="L26" s="203" t="s">
        <v>64</v>
      </c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2"/>
      <c r="Y26" s="92"/>
      <c r="Z26" s="92"/>
      <c r="AA26" s="92"/>
      <c r="AB26" s="92"/>
      <c r="AC26" s="92"/>
      <c r="AD26" s="92"/>
      <c r="AE26" s="92"/>
      <c r="AF26" s="92"/>
      <c r="AG26" s="99" t="s">
        <v>66</v>
      </c>
      <c r="AH26" s="99"/>
      <c r="AI26" s="99"/>
      <c r="AJ26" s="99"/>
      <c r="AK26" s="99"/>
      <c r="AL26" s="92"/>
      <c r="AM26" s="92"/>
      <c r="AN26" s="92"/>
      <c r="AO26" s="92"/>
      <c r="AP26" s="92"/>
      <c r="AQ26" s="92"/>
      <c r="AR26" s="92"/>
      <c r="AS26" s="92"/>
      <c r="AT26" s="92"/>
      <c r="AU26" s="2"/>
      <c r="AV26" s="2"/>
      <c r="AW26" s="2"/>
      <c r="AX26" s="2"/>
      <c r="AY26" s="2"/>
      <c r="AZ26" s="2"/>
      <c r="BA26" s="2"/>
      <c r="BB26" s="2"/>
      <c r="BC26" s="20"/>
    </row>
    <row r="27" spans="2:56" ht="2.25" customHeight="1" x14ac:dyDescent="0.25"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9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8"/>
      <c r="BD27" s="1" t="s">
        <v>65</v>
      </c>
    </row>
    <row r="28" spans="2:56" ht="16.5" customHeight="1" x14ac:dyDescent="0.25">
      <c r="B28" s="183" t="s">
        <v>27</v>
      </c>
      <c r="C28" s="184"/>
      <c r="D28" s="184"/>
      <c r="E28" s="184"/>
      <c r="F28" s="184"/>
      <c r="G28" s="184"/>
      <c r="H28" s="184"/>
      <c r="I28" s="184"/>
      <c r="J28" s="184"/>
      <c r="K28" s="185"/>
      <c r="L28" s="189" t="s">
        <v>10</v>
      </c>
      <c r="M28" s="184"/>
      <c r="N28" s="184"/>
      <c r="O28" s="184"/>
      <c r="P28" s="184"/>
      <c r="Q28" s="184"/>
      <c r="R28" s="184"/>
      <c r="S28" s="184"/>
      <c r="T28" s="185"/>
      <c r="U28" s="189" t="s">
        <v>11</v>
      </c>
      <c r="V28" s="184"/>
      <c r="W28" s="184"/>
      <c r="X28" s="184"/>
      <c r="Y28" s="184"/>
      <c r="Z28" s="184"/>
      <c r="AA28" s="184"/>
      <c r="AB28" s="184"/>
      <c r="AC28" s="184"/>
      <c r="AD28" s="184"/>
      <c r="AE28" s="184"/>
      <c r="AF28" s="184"/>
      <c r="AG28" s="185"/>
      <c r="AH28" s="191" t="s">
        <v>63</v>
      </c>
      <c r="AI28" s="192"/>
      <c r="AJ28" s="192"/>
      <c r="AK28" s="192"/>
      <c r="AL28" s="192"/>
      <c r="AM28" s="192"/>
      <c r="AN28" s="192"/>
      <c r="AO28" s="193"/>
      <c r="AP28" s="189" t="s">
        <v>12</v>
      </c>
      <c r="AQ28" s="184"/>
      <c r="AR28" s="184"/>
      <c r="AS28" s="184"/>
      <c r="AT28" s="184"/>
      <c r="AU28" s="184"/>
      <c r="AV28" s="184"/>
      <c r="AW28" s="184"/>
      <c r="AX28" s="184"/>
      <c r="AY28" s="184"/>
      <c r="AZ28" s="184"/>
      <c r="BA28" s="184"/>
      <c r="BB28" s="184"/>
      <c r="BC28" s="197"/>
    </row>
    <row r="29" spans="2:56" x14ac:dyDescent="0.25">
      <c r="B29" s="186"/>
      <c r="C29" s="187"/>
      <c r="D29" s="187"/>
      <c r="E29" s="187"/>
      <c r="F29" s="187"/>
      <c r="G29" s="187"/>
      <c r="H29" s="187"/>
      <c r="I29" s="187"/>
      <c r="J29" s="187"/>
      <c r="K29" s="188"/>
      <c r="L29" s="190"/>
      <c r="M29" s="187"/>
      <c r="N29" s="187"/>
      <c r="O29" s="187"/>
      <c r="P29" s="187"/>
      <c r="Q29" s="187"/>
      <c r="R29" s="187"/>
      <c r="S29" s="187"/>
      <c r="T29" s="188"/>
      <c r="U29" s="190"/>
      <c r="V29" s="187"/>
      <c r="W29" s="187"/>
      <c r="X29" s="187"/>
      <c r="Y29" s="187"/>
      <c r="Z29" s="187"/>
      <c r="AA29" s="187"/>
      <c r="AB29" s="187"/>
      <c r="AC29" s="187"/>
      <c r="AD29" s="187"/>
      <c r="AE29" s="187"/>
      <c r="AF29" s="187"/>
      <c r="AG29" s="188"/>
      <c r="AH29" s="194"/>
      <c r="AI29" s="195"/>
      <c r="AJ29" s="195"/>
      <c r="AK29" s="195"/>
      <c r="AL29" s="195"/>
      <c r="AM29" s="195"/>
      <c r="AN29" s="195"/>
      <c r="AO29" s="196"/>
      <c r="AP29" s="190"/>
      <c r="AQ29" s="187"/>
      <c r="AR29" s="187"/>
      <c r="AS29" s="187"/>
      <c r="AT29" s="187"/>
      <c r="AU29" s="187"/>
      <c r="AV29" s="187"/>
      <c r="AW29" s="187"/>
      <c r="AX29" s="187"/>
      <c r="AY29" s="187"/>
      <c r="AZ29" s="187"/>
      <c r="BA29" s="187"/>
      <c r="BB29" s="187"/>
      <c r="BC29" s="198"/>
    </row>
    <row r="30" spans="2:56" x14ac:dyDescent="0.25">
      <c r="B30" s="199"/>
      <c r="C30" s="92"/>
      <c r="D30" s="92"/>
      <c r="E30" s="92"/>
      <c r="F30" s="92"/>
      <c r="G30" s="92"/>
      <c r="H30" s="92"/>
      <c r="I30" s="92"/>
      <c r="J30" s="92"/>
      <c r="K30" s="200"/>
      <c r="L30" s="91"/>
      <c r="M30" s="92"/>
      <c r="N30" s="92"/>
      <c r="O30" s="92"/>
      <c r="P30" s="92"/>
      <c r="Q30" s="92"/>
      <c r="R30" s="92"/>
      <c r="S30" s="92"/>
      <c r="T30" s="200"/>
      <c r="U30" s="91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200"/>
      <c r="AH30" s="91"/>
      <c r="AI30" s="92"/>
      <c r="AJ30" s="92"/>
      <c r="AK30" s="92"/>
      <c r="AL30" s="92"/>
      <c r="AM30" s="92"/>
      <c r="AN30" s="92"/>
      <c r="AO30" s="200"/>
      <c r="AP30" s="91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3"/>
    </row>
    <row r="31" spans="2:56" ht="14.4" thickBot="1" x14ac:dyDescent="0.3">
      <c r="B31" s="178"/>
      <c r="C31" s="179"/>
      <c r="D31" s="179"/>
      <c r="E31" s="179"/>
      <c r="F31" s="179"/>
      <c r="G31" s="179"/>
      <c r="H31" s="179"/>
      <c r="I31" s="179"/>
      <c r="J31" s="179"/>
      <c r="K31" s="180"/>
      <c r="L31" s="181"/>
      <c r="M31" s="179"/>
      <c r="N31" s="179"/>
      <c r="O31" s="179"/>
      <c r="P31" s="179"/>
      <c r="Q31" s="179"/>
      <c r="R31" s="179"/>
      <c r="S31" s="179"/>
      <c r="T31" s="180"/>
      <c r="U31" s="181"/>
      <c r="V31" s="179"/>
      <c r="W31" s="179"/>
      <c r="X31" s="179"/>
      <c r="Y31" s="179"/>
      <c r="Z31" s="179"/>
      <c r="AA31" s="179"/>
      <c r="AB31" s="179"/>
      <c r="AC31" s="179"/>
      <c r="AD31" s="179"/>
      <c r="AE31" s="179"/>
      <c r="AF31" s="179"/>
      <c r="AG31" s="180"/>
      <c r="AH31" s="181"/>
      <c r="AI31" s="179"/>
      <c r="AJ31" s="179"/>
      <c r="AK31" s="179"/>
      <c r="AL31" s="179"/>
      <c r="AM31" s="179"/>
      <c r="AN31" s="179"/>
      <c r="AO31" s="180"/>
      <c r="AP31" s="181"/>
      <c r="AQ31" s="179"/>
      <c r="AR31" s="179"/>
      <c r="AS31" s="179"/>
      <c r="AT31" s="179"/>
      <c r="AU31" s="179"/>
      <c r="AV31" s="179"/>
      <c r="AW31" s="179"/>
      <c r="AX31" s="179"/>
      <c r="AY31" s="179"/>
      <c r="AZ31" s="179"/>
      <c r="BA31" s="179"/>
      <c r="BB31" s="179"/>
      <c r="BC31" s="182"/>
    </row>
    <row r="32" spans="2:56" ht="4.5" customHeight="1" thickBot="1" x14ac:dyDescent="0.3"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</row>
    <row r="33" spans="2:55" s="48" customFormat="1" x14ac:dyDescent="0.25">
      <c r="B33" s="121" t="s">
        <v>42</v>
      </c>
      <c r="C33" s="122"/>
      <c r="D33" s="122"/>
      <c r="E33" s="207" t="s">
        <v>108</v>
      </c>
      <c r="F33" s="207"/>
      <c r="G33" s="207"/>
      <c r="H33" s="207"/>
      <c r="I33" s="207"/>
      <c r="J33" s="207"/>
      <c r="K33" s="207"/>
      <c r="L33" s="207"/>
      <c r="M33" s="207"/>
      <c r="N33" s="207"/>
      <c r="O33" s="207"/>
      <c r="P33" s="207"/>
      <c r="Q33" s="118" t="s">
        <v>28</v>
      </c>
      <c r="R33" s="118"/>
      <c r="S33" s="118"/>
      <c r="T33" s="118"/>
      <c r="U33" s="140">
        <v>428552</v>
      </c>
      <c r="V33" s="140"/>
      <c r="W33" s="140"/>
      <c r="X33" s="140"/>
      <c r="Y33" s="140"/>
      <c r="Z33" s="140"/>
      <c r="AA33" s="118" t="s">
        <v>41</v>
      </c>
      <c r="AB33" s="118"/>
      <c r="AC33" s="118"/>
      <c r="AD33" s="140" t="s">
        <v>109</v>
      </c>
      <c r="AE33" s="140"/>
      <c r="AF33" s="140"/>
      <c r="AG33" s="140"/>
      <c r="AH33" s="140"/>
      <c r="AI33" s="140"/>
      <c r="AJ33" s="140"/>
      <c r="AK33" s="140"/>
      <c r="AL33" s="140"/>
      <c r="AM33" s="122" t="s">
        <v>40</v>
      </c>
      <c r="AN33" s="122"/>
      <c r="AO33" s="122"/>
      <c r="AP33" s="140" t="s">
        <v>110</v>
      </c>
      <c r="AQ33" s="140"/>
      <c r="AR33" s="140"/>
      <c r="AS33" s="140"/>
      <c r="AT33" s="140"/>
      <c r="AU33" s="140"/>
      <c r="AV33" s="140"/>
      <c r="AW33" s="140"/>
      <c r="AX33" s="140"/>
      <c r="AY33" s="118" t="s">
        <v>55</v>
      </c>
      <c r="AZ33" s="118"/>
      <c r="BA33" s="118"/>
      <c r="BB33" s="140" t="s">
        <v>111</v>
      </c>
      <c r="BC33" s="141"/>
    </row>
    <row r="34" spans="2:55" s="48" customFormat="1" x14ac:dyDescent="0.25">
      <c r="B34" s="120" t="s">
        <v>47</v>
      </c>
      <c r="C34" s="101"/>
      <c r="D34" s="101"/>
      <c r="E34" s="101"/>
      <c r="F34" s="101"/>
      <c r="G34" s="101"/>
      <c r="H34" s="101"/>
      <c r="I34" s="116">
        <v>10</v>
      </c>
      <c r="J34" s="116"/>
      <c r="K34" s="73" t="s">
        <v>46</v>
      </c>
      <c r="L34" s="73"/>
      <c r="M34" s="73"/>
      <c r="N34" s="209" t="s">
        <v>114</v>
      </c>
      <c r="O34" s="209"/>
      <c r="P34" s="209"/>
      <c r="Q34" s="209"/>
      <c r="R34" s="124" t="s">
        <v>45</v>
      </c>
      <c r="S34" s="124"/>
      <c r="T34" s="124"/>
      <c r="U34" s="124"/>
      <c r="V34" s="116" t="s">
        <v>102</v>
      </c>
      <c r="W34" s="116"/>
      <c r="X34" s="116"/>
      <c r="Y34" s="116"/>
      <c r="Z34" s="116"/>
      <c r="AA34" s="102" t="s">
        <v>44</v>
      </c>
      <c r="AB34" s="102"/>
      <c r="AC34" s="102"/>
      <c r="AD34" s="102"/>
      <c r="AE34" s="102"/>
      <c r="AF34" s="102"/>
      <c r="AG34" s="102"/>
      <c r="AH34" s="102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103" t="s">
        <v>43</v>
      </c>
      <c r="AT34" s="103"/>
      <c r="AU34" s="103"/>
      <c r="AV34" s="103"/>
      <c r="AW34" s="125"/>
      <c r="AX34" s="125"/>
      <c r="AY34" s="125"/>
      <c r="AZ34" s="125"/>
      <c r="BA34" s="125"/>
      <c r="BB34" s="125"/>
      <c r="BC34" s="126"/>
    </row>
    <row r="35" spans="2:55" ht="2.25" customHeight="1" x14ac:dyDescent="0.25">
      <c r="B35" s="76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8"/>
    </row>
    <row r="36" spans="2:55" ht="16.5" customHeight="1" x14ac:dyDescent="0.25">
      <c r="B36" s="183" t="s">
        <v>26</v>
      </c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/>
      <c r="Q36" s="184"/>
      <c r="R36" s="184"/>
      <c r="S36" s="184"/>
      <c r="T36" s="185"/>
      <c r="U36" s="208" t="s">
        <v>29</v>
      </c>
      <c r="V36" s="116"/>
      <c r="W36" s="116"/>
      <c r="X36" s="116"/>
      <c r="Y36" s="116"/>
      <c r="Z36" s="116"/>
      <c r="AA36" s="116"/>
      <c r="AB36" s="116"/>
      <c r="AC36" s="116"/>
      <c r="AD36" s="116"/>
      <c r="AE36" s="116"/>
      <c r="AF36" s="116"/>
      <c r="AG36" s="116"/>
      <c r="AH36" s="116"/>
      <c r="AI36" s="117"/>
      <c r="AJ36" s="191" t="s">
        <v>62</v>
      </c>
      <c r="AK36" s="192"/>
      <c r="AL36" s="192"/>
      <c r="AM36" s="192"/>
      <c r="AN36" s="192"/>
      <c r="AO36" s="193"/>
      <c r="AP36" s="189" t="s">
        <v>8</v>
      </c>
      <c r="AQ36" s="184"/>
      <c r="AR36" s="184"/>
      <c r="AS36" s="184"/>
      <c r="AT36" s="184"/>
      <c r="AU36" s="184"/>
      <c r="AV36" s="184"/>
      <c r="AW36" s="184"/>
      <c r="AX36" s="184"/>
      <c r="AY36" s="184"/>
      <c r="AZ36" s="184"/>
      <c r="BA36" s="184"/>
      <c r="BB36" s="184"/>
      <c r="BC36" s="197"/>
    </row>
    <row r="37" spans="2:55" x14ac:dyDescent="0.25">
      <c r="B37" s="186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8"/>
      <c r="U37" s="208">
        <v>1</v>
      </c>
      <c r="V37" s="116"/>
      <c r="W37" s="116"/>
      <c r="X37" s="117"/>
      <c r="Y37" s="208">
        <v>2</v>
      </c>
      <c r="Z37" s="116"/>
      <c r="AA37" s="116"/>
      <c r="AB37" s="117"/>
      <c r="AC37" s="208">
        <v>3</v>
      </c>
      <c r="AD37" s="116"/>
      <c r="AE37" s="116"/>
      <c r="AF37" s="117"/>
      <c r="AG37" s="208">
        <v>4</v>
      </c>
      <c r="AH37" s="116"/>
      <c r="AI37" s="117"/>
      <c r="AJ37" s="194"/>
      <c r="AK37" s="195"/>
      <c r="AL37" s="195"/>
      <c r="AM37" s="195"/>
      <c r="AN37" s="195"/>
      <c r="AO37" s="196"/>
      <c r="AP37" s="190"/>
      <c r="AQ37" s="187"/>
      <c r="AR37" s="187"/>
      <c r="AS37" s="187"/>
      <c r="AT37" s="187"/>
      <c r="AU37" s="187"/>
      <c r="AV37" s="187"/>
      <c r="AW37" s="187"/>
      <c r="AX37" s="187"/>
      <c r="AY37" s="187"/>
      <c r="AZ37" s="187"/>
      <c r="BA37" s="187"/>
      <c r="BB37" s="187"/>
      <c r="BC37" s="198"/>
    </row>
    <row r="38" spans="2:55" x14ac:dyDescent="0.25">
      <c r="B38" s="158" t="s">
        <v>1</v>
      </c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60"/>
      <c r="U38" s="161">
        <v>93</v>
      </c>
      <c r="V38" s="162"/>
      <c r="W38" s="162"/>
      <c r="X38" s="163"/>
      <c r="Y38" s="161">
        <v>93</v>
      </c>
      <c r="Z38" s="162"/>
      <c r="AA38" s="162"/>
      <c r="AB38" s="163"/>
      <c r="AC38" s="161">
        <v>95</v>
      </c>
      <c r="AD38" s="162"/>
      <c r="AE38" s="162"/>
      <c r="AF38" s="163"/>
      <c r="AG38" s="161">
        <v>97</v>
      </c>
      <c r="AH38" s="162"/>
      <c r="AI38" s="163"/>
      <c r="AJ38" s="164">
        <f>AVERAGE(AG38,AC38,Y38,U38)</f>
        <v>94.5</v>
      </c>
      <c r="AK38" s="165"/>
      <c r="AL38" s="165"/>
      <c r="AM38" s="165"/>
      <c r="AN38" s="165"/>
      <c r="AO38" s="166"/>
      <c r="AP38" s="127" t="s">
        <v>87</v>
      </c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8"/>
    </row>
    <row r="39" spans="2:55" x14ac:dyDescent="0.25">
      <c r="B39" s="158" t="s">
        <v>2</v>
      </c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60"/>
      <c r="U39" s="161">
        <v>88</v>
      </c>
      <c r="V39" s="162"/>
      <c r="W39" s="162"/>
      <c r="X39" s="163"/>
      <c r="Y39" s="161">
        <v>89</v>
      </c>
      <c r="Z39" s="162"/>
      <c r="AA39" s="162"/>
      <c r="AB39" s="163"/>
      <c r="AC39" s="161">
        <v>90</v>
      </c>
      <c r="AD39" s="162"/>
      <c r="AE39" s="162"/>
      <c r="AF39" s="163"/>
      <c r="AG39" s="161">
        <v>90</v>
      </c>
      <c r="AH39" s="162"/>
      <c r="AI39" s="163"/>
      <c r="AJ39" s="164">
        <f t="shared" ref="AJ39:AJ49" si="1">AVERAGE(AG39,AC39,Y39,U39)</f>
        <v>89.25</v>
      </c>
      <c r="AK39" s="165"/>
      <c r="AL39" s="165"/>
      <c r="AM39" s="165"/>
      <c r="AN39" s="165"/>
      <c r="AO39" s="166"/>
      <c r="AP39" s="127" t="s">
        <v>87</v>
      </c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8"/>
    </row>
    <row r="40" spans="2:55" x14ac:dyDescent="0.25">
      <c r="B40" s="158" t="s">
        <v>3</v>
      </c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60"/>
      <c r="U40" s="161">
        <v>92</v>
      </c>
      <c r="V40" s="162"/>
      <c r="W40" s="162"/>
      <c r="X40" s="163"/>
      <c r="Y40" s="161">
        <v>90</v>
      </c>
      <c r="Z40" s="162"/>
      <c r="AA40" s="162"/>
      <c r="AB40" s="163"/>
      <c r="AC40" s="161">
        <v>88</v>
      </c>
      <c r="AD40" s="162"/>
      <c r="AE40" s="162"/>
      <c r="AF40" s="163"/>
      <c r="AG40" s="161">
        <v>92</v>
      </c>
      <c r="AH40" s="162"/>
      <c r="AI40" s="163"/>
      <c r="AJ40" s="164">
        <f t="shared" si="1"/>
        <v>90.5</v>
      </c>
      <c r="AK40" s="165"/>
      <c r="AL40" s="165"/>
      <c r="AM40" s="165"/>
      <c r="AN40" s="165"/>
      <c r="AO40" s="166"/>
      <c r="AP40" s="127" t="s">
        <v>87</v>
      </c>
      <c r="AQ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8"/>
    </row>
    <row r="41" spans="2:55" x14ac:dyDescent="0.25">
      <c r="B41" s="158" t="s">
        <v>57</v>
      </c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60"/>
      <c r="U41" s="161">
        <v>87</v>
      </c>
      <c r="V41" s="162"/>
      <c r="W41" s="162"/>
      <c r="X41" s="163"/>
      <c r="Y41" s="161">
        <v>86</v>
      </c>
      <c r="Z41" s="162"/>
      <c r="AA41" s="162"/>
      <c r="AB41" s="163"/>
      <c r="AC41" s="161">
        <v>88</v>
      </c>
      <c r="AD41" s="162"/>
      <c r="AE41" s="162"/>
      <c r="AF41" s="163"/>
      <c r="AG41" s="161">
        <v>85</v>
      </c>
      <c r="AH41" s="162"/>
      <c r="AI41" s="163"/>
      <c r="AJ41" s="164">
        <f t="shared" si="1"/>
        <v>86.5</v>
      </c>
      <c r="AK41" s="165"/>
      <c r="AL41" s="165"/>
      <c r="AM41" s="165"/>
      <c r="AN41" s="165"/>
      <c r="AO41" s="166"/>
      <c r="AP41" s="127" t="s">
        <v>87</v>
      </c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8"/>
    </row>
    <row r="42" spans="2:55" x14ac:dyDescent="0.25">
      <c r="B42" s="158" t="s">
        <v>4</v>
      </c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60"/>
      <c r="U42" s="161">
        <v>85</v>
      </c>
      <c r="V42" s="162"/>
      <c r="W42" s="162"/>
      <c r="X42" s="163"/>
      <c r="Y42" s="161">
        <v>88</v>
      </c>
      <c r="Z42" s="162"/>
      <c r="AA42" s="162"/>
      <c r="AB42" s="163"/>
      <c r="AC42" s="161">
        <v>90</v>
      </c>
      <c r="AD42" s="162"/>
      <c r="AE42" s="162"/>
      <c r="AF42" s="163"/>
      <c r="AG42" s="161">
        <v>91</v>
      </c>
      <c r="AH42" s="162"/>
      <c r="AI42" s="163"/>
      <c r="AJ42" s="164">
        <f t="shared" si="1"/>
        <v>88.5</v>
      </c>
      <c r="AK42" s="165"/>
      <c r="AL42" s="165"/>
      <c r="AM42" s="165"/>
      <c r="AN42" s="165"/>
      <c r="AO42" s="166"/>
      <c r="AP42" s="127" t="s">
        <v>87</v>
      </c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8"/>
    </row>
    <row r="43" spans="2:55" x14ac:dyDescent="0.25">
      <c r="B43" s="158" t="s">
        <v>5</v>
      </c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60"/>
      <c r="U43" s="161">
        <v>91</v>
      </c>
      <c r="V43" s="162"/>
      <c r="W43" s="162"/>
      <c r="X43" s="163"/>
      <c r="Y43" s="161">
        <v>94</v>
      </c>
      <c r="Z43" s="162"/>
      <c r="AA43" s="162"/>
      <c r="AB43" s="163"/>
      <c r="AC43" s="161">
        <v>95</v>
      </c>
      <c r="AD43" s="162"/>
      <c r="AE43" s="162"/>
      <c r="AF43" s="163"/>
      <c r="AG43" s="161">
        <v>99</v>
      </c>
      <c r="AH43" s="162"/>
      <c r="AI43" s="163"/>
      <c r="AJ43" s="164">
        <f t="shared" si="1"/>
        <v>94.75</v>
      </c>
      <c r="AK43" s="165"/>
      <c r="AL43" s="165"/>
      <c r="AM43" s="165"/>
      <c r="AN43" s="165"/>
      <c r="AO43" s="166"/>
      <c r="AP43" s="127" t="s">
        <v>87</v>
      </c>
      <c r="AQ43" s="127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128"/>
    </row>
    <row r="44" spans="2:55" x14ac:dyDescent="0.25">
      <c r="B44" s="158" t="s">
        <v>6</v>
      </c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60"/>
      <c r="U44" s="161">
        <v>82</v>
      </c>
      <c r="V44" s="162"/>
      <c r="W44" s="162"/>
      <c r="X44" s="163"/>
      <c r="Y44" s="161">
        <v>88</v>
      </c>
      <c r="Z44" s="162"/>
      <c r="AA44" s="162"/>
      <c r="AB44" s="163"/>
      <c r="AC44" s="161">
        <v>94</v>
      </c>
      <c r="AD44" s="162"/>
      <c r="AE44" s="162"/>
      <c r="AF44" s="163"/>
      <c r="AG44" s="161">
        <v>95</v>
      </c>
      <c r="AH44" s="162"/>
      <c r="AI44" s="163"/>
      <c r="AJ44" s="164">
        <f t="shared" si="1"/>
        <v>89.75</v>
      </c>
      <c r="AK44" s="165"/>
      <c r="AL44" s="165"/>
      <c r="AM44" s="165"/>
      <c r="AN44" s="165"/>
      <c r="AO44" s="166"/>
      <c r="AP44" s="127" t="s">
        <v>87</v>
      </c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8"/>
    </row>
    <row r="45" spans="2:55" x14ac:dyDescent="0.25">
      <c r="B45" s="158" t="s">
        <v>7</v>
      </c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60"/>
      <c r="U45" s="161">
        <v>85</v>
      </c>
      <c r="V45" s="162"/>
      <c r="W45" s="162"/>
      <c r="X45" s="163"/>
      <c r="Y45" s="161">
        <v>90</v>
      </c>
      <c r="Z45" s="162"/>
      <c r="AA45" s="162"/>
      <c r="AB45" s="163"/>
      <c r="AC45" s="161">
        <v>92</v>
      </c>
      <c r="AD45" s="162"/>
      <c r="AE45" s="162"/>
      <c r="AF45" s="163"/>
      <c r="AG45" s="161">
        <v>93</v>
      </c>
      <c r="AH45" s="162"/>
      <c r="AI45" s="163"/>
      <c r="AJ45" s="164">
        <f t="shared" si="1"/>
        <v>90</v>
      </c>
      <c r="AK45" s="165"/>
      <c r="AL45" s="165"/>
      <c r="AM45" s="165"/>
      <c r="AN45" s="165"/>
      <c r="AO45" s="166"/>
      <c r="AP45" s="127" t="s">
        <v>87</v>
      </c>
      <c r="AQ45" s="127"/>
      <c r="AR45" s="127"/>
      <c r="AS45" s="127"/>
      <c r="AT45" s="127"/>
      <c r="AU45" s="127"/>
      <c r="AV45" s="127"/>
      <c r="AW45" s="127"/>
      <c r="AX45" s="127"/>
      <c r="AY45" s="127"/>
      <c r="AZ45" s="127"/>
      <c r="BA45" s="127"/>
      <c r="BB45" s="127"/>
      <c r="BC45" s="128"/>
    </row>
    <row r="46" spans="2:55" ht="16.5" customHeight="1" x14ac:dyDescent="0.25">
      <c r="B46" s="204" t="s">
        <v>58</v>
      </c>
      <c r="C46" s="205"/>
      <c r="D46" s="205"/>
      <c r="E46" s="205"/>
      <c r="F46" s="205"/>
      <c r="G46" s="205"/>
      <c r="H46" s="205"/>
      <c r="I46" s="205"/>
      <c r="J46" s="205"/>
      <c r="K46" s="205"/>
      <c r="L46" s="205"/>
      <c r="M46" s="205"/>
      <c r="N46" s="205"/>
      <c r="O46" s="205"/>
      <c r="P46" s="205"/>
      <c r="Q46" s="205"/>
      <c r="R46" s="205"/>
      <c r="S46" s="205"/>
      <c r="T46" s="206"/>
      <c r="U46" s="161">
        <v>83</v>
      </c>
      <c r="V46" s="162"/>
      <c r="W46" s="162"/>
      <c r="X46" s="163"/>
      <c r="Y46" s="161">
        <v>88</v>
      </c>
      <c r="Z46" s="162"/>
      <c r="AA46" s="162"/>
      <c r="AB46" s="163"/>
      <c r="AC46" s="161">
        <v>90</v>
      </c>
      <c r="AD46" s="162"/>
      <c r="AE46" s="162"/>
      <c r="AF46" s="163"/>
      <c r="AG46" s="161">
        <v>92</v>
      </c>
      <c r="AH46" s="162"/>
      <c r="AI46" s="163"/>
      <c r="AJ46" s="164">
        <f t="shared" si="1"/>
        <v>88.25</v>
      </c>
      <c r="AK46" s="165"/>
      <c r="AL46" s="165"/>
      <c r="AM46" s="165"/>
      <c r="AN46" s="165"/>
      <c r="AO46" s="166"/>
      <c r="AP46" s="127" t="s">
        <v>87</v>
      </c>
      <c r="AQ46" s="127"/>
      <c r="AR46" s="127"/>
      <c r="AS46" s="127"/>
      <c r="AT46" s="127"/>
      <c r="AU46" s="127"/>
      <c r="AV46" s="127"/>
      <c r="AW46" s="127"/>
      <c r="AX46" s="127"/>
      <c r="AY46" s="127"/>
      <c r="AZ46" s="127"/>
      <c r="BA46" s="127"/>
      <c r="BB46" s="127"/>
      <c r="BC46" s="128"/>
    </row>
    <row r="47" spans="2:55" x14ac:dyDescent="0.25">
      <c r="B47" s="204" t="s">
        <v>59</v>
      </c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6"/>
      <c r="U47" s="161">
        <v>86</v>
      </c>
      <c r="V47" s="162"/>
      <c r="W47" s="162"/>
      <c r="X47" s="163"/>
      <c r="Y47" s="161">
        <v>88</v>
      </c>
      <c r="Z47" s="162"/>
      <c r="AA47" s="162"/>
      <c r="AB47" s="163"/>
      <c r="AC47" s="161">
        <v>88</v>
      </c>
      <c r="AD47" s="162"/>
      <c r="AE47" s="162"/>
      <c r="AF47" s="163"/>
      <c r="AG47" s="161">
        <v>91</v>
      </c>
      <c r="AH47" s="162"/>
      <c r="AI47" s="163"/>
      <c r="AJ47" s="164">
        <f t="shared" si="1"/>
        <v>88.25</v>
      </c>
      <c r="AK47" s="165"/>
      <c r="AL47" s="165"/>
      <c r="AM47" s="165"/>
      <c r="AN47" s="165"/>
      <c r="AO47" s="166"/>
      <c r="AP47" s="127" t="s">
        <v>87</v>
      </c>
      <c r="AQ47" s="127"/>
      <c r="AR47" s="127"/>
      <c r="AS47" s="127"/>
      <c r="AT47" s="127"/>
      <c r="AU47" s="127"/>
      <c r="AV47" s="127"/>
      <c r="AW47" s="127"/>
      <c r="AX47" s="127"/>
      <c r="AY47" s="127"/>
      <c r="AZ47" s="127"/>
      <c r="BA47" s="127"/>
      <c r="BB47" s="127"/>
      <c r="BC47" s="128"/>
    </row>
    <row r="48" spans="2:55" x14ac:dyDescent="0.25">
      <c r="B48" s="204" t="s">
        <v>60</v>
      </c>
      <c r="C48" s="205"/>
      <c r="D48" s="205"/>
      <c r="E48" s="205"/>
      <c r="F48" s="205"/>
      <c r="G48" s="205"/>
      <c r="H48" s="205"/>
      <c r="I48" s="205"/>
      <c r="J48" s="205"/>
      <c r="K48" s="205"/>
      <c r="L48" s="205"/>
      <c r="M48" s="205"/>
      <c r="N48" s="205"/>
      <c r="O48" s="205"/>
      <c r="P48" s="205"/>
      <c r="Q48" s="205"/>
      <c r="R48" s="205"/>
      <c r="S48" s="205"/>
      <c r="T48" s="206"/>
      <c r="U48" s="161">
        <v>87</v>
      </c>
      <c r="V48" s="162"/>
      <c r="W48" s="162"/>
      <c r="X48" s="163"/>
      <c r="Y48" s="161">
        <v>93</v>
      </c>
      <c r="Z48" s="162"/>
      <c r="AA48" s="162"/>
      <c r="AB48" s="163"/>
      <c r="AC48" s="161">
        <v>94</v>
      </c>
      <c r="AD48" s="162"/>
      <c r="AE48" s="162"/>
      <c r="AF48" s="163"/>
      <c r="AG48" s="161">
        <v>92</v>
      </c>
      <c r="AH48" s="162"/>
      <c r="AI48" s="163"/>
      <c r="AJ48" s="164">
        <f t="shared" si="1"/>
        <v>91.5</v>
      </c>
      <c r="AK48" s="165"/>
      <c r="AL48" s="165"/>
      <c r="AM48" s="165"/>
      <c r="AN48" s="165"/>
      <c r="AO48" s="166"/>
      <c r="AP48" s="127" t="s">
        <v>87</v>
      </c>
      <c r="AQ48" s="127"/>
      <c r="AR48" s="127"/>
      <c r="AS48" s="127"/>
      <c r="AT48" s="127"/>
      <c r="AU48" s="127"/>
      <c r="AV48" s="127"/>
      <c r="AW48" s="127"/>
      <c r="AX48" s="127"/>
      <c r="AY48" s="127"/>
      <c r="AZ48" s="127"/>
      <c r="BA48" s="127"/>
      <c r="BB48" s="127"/>
      <c r="BC48" s="128"/>
    </row>
    <row r="49" spans="2:56" x14ac:dyDescent="0.25">
      <c r="B49" s="204" t="s">
        <v>61</v>
      </c>
      <c r="C49" s="205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05"/>
      <c r="Q49" s="205"/>
      <c r="R49" s="205"/>
      <c r="S49" s="205"/>
      <c r="T49" s="206"/>
      <c r="U49" s="161">
        <v>85</v>
      </c>
      <c r="V49" s="162"/>
      <c r="W49" s="162"/>
      <c r="X49" s="163"/>
      <c r="Y49" s="161">
        <v>90</v>
      </c>
      <c r="Z49" s="162"/>
      <c r="AA49" s="162"/>
      <c r="AB49" s="163"/>
      <c r="AC49" s="161">
        <v>97</v>
      </c>
      <c r="AD49" s="162"/>
      <c r="AE49" s="162"/>
      <c r="AF49" s="163"/>
      <c r="AG49" s="161">
        <v>96</v>
      </c>
      <c r="AH49" s="162"/>
      <c r="AI49" s="163"/>
      <c r="AJ49" s="164">
        <f t="shared" si="1"/>
        <v>92</v>
      </c>
      <c r="AK49" s="165"/>
      <c r="AL49" s="165"/>
      <c r="AM49" s="165"/>
      <c r="AN49" s="165"/>
      <c r="AO49" s="166"/>
      <c r="AP49" s="127" t="s">
        <v>87</v>
      </c>
      <c r="AQ49" s="127"/>
      <c r="AR49" s="127"/>
      <c r="AS49" s="127"/>
      <c r="AT49" s="127"/>
      <c r="AU49" s="127"/>
      <c r="AV49" s="127"/>
      <c r="AW49" s="127"/>
      <c r="AX49" s="127"/>
      <c r="AY49" s="127"/>
      <c r="AZ49" s="127"/>
      <c r="BA49" s="127"/>
      <c r="BB49" s="127"/>
      <c r="BC49" s="128"/>
    </row>
    <row r="50" spans="2:56" s="48" customFormat="1" x14ac:dyDescent="0.25">
      <c r="B50" s="149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1"/>
      <c r="U50" s="152" t="s">
        <v>9</v>
      </c>
      <c r="V50" s="153"/>
      <c r="W50" s="153"/>
      <c r="X50" s="153"/>
      <c r="Y50" s="153"/>
      <c r="Z50" s="153"/>
      <c r="AA50" s="153"/>
      <c r="AB50" s="153"/>
      <c r="AC50" s="153"/>
      <c r="AD50" s="153"/>
      <c r="AE50" s="153"/>
      <c r="AF50" s="153"/>
      <c r="AG50" s="153"/>
      <c r="AH50" s="153"/>
      <c r="AI50" s="154"/>
      <c r="AJ50" s="155">
        <v>91</v>
      </c>
      <c r="AK50" s="116"/>
      <c r="AL50" s="116"/>
      <c r="AM50" s="116"/>
      <c r="AN50" s="116"/>
      <c r="AO50" s="117"/>
      <c r="AP50" s="91" t="s">
        <v>88</v>
      </c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3"/>
    </row>
    <row r="51" spans="2:56" s="48" customFormat="1" x14ac:dyDescent="0.25">
      <c r="B51" s="60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2"/>
      <c r="U51" s="56"/>
      <c r="V51" s="57"/>
      <c r="W51" s="57"/>
      <c r="X51" s="59"/>
      <c r="Y51" s="56"/>
      <c r="Z51" s="57"/>
      <c r="AA51" s="57"/>
      <c r="AB51" s="59"/>
      <c r="AC51" s="56"/>
      <c r="AD51" s="57"/>
      <c r="AE51" s="57"/>
      <c r="AF51" s="59"/>
      <c r="AG51" s="56"/>
      <c r="AH51" s="57"/>
      <c r="AI51" s="59"/>
      <c r="AJ51" s="63"/>
      <c r="AK51" s="64"/>
      <c r="AL51" s="64"/>
      <c r="AM51" s="64"/>
      <c r="AN51" s="64"/>
      <c r="AO51" s="65"/>
      <c r="AP51" s="56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8"/>
    </row>
    <row r="52" spans="2:56" s="48" customFormat="1" ht="14.4" customHeight="1" x14ac:dyDescent="0.25">
      <c r="B52" s="158" t="s">
        <v>115</v>
      </c>
      <c r="C52" s="159"/>
      <c r="D52" s="159"/>
      <c r="E52" s="159"/>
      <c r="F52" s="159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60"/>
      <c r="U52" s="161">
        <v>93</v>
      </c>
      <c r="V52" s="162"/>
      <c r="W52" s="162"/>
      <c r="X52" s="163"/>
      <c r="Y52" s="161">
        <v>95</v>
      </c>
      <c r="Z52" s="162"/>
      <c r="AA52" s="162"/>
      <c r="AB52" s="163"/>
      <c r="AC52" s="161">
        <v>95</v>
      </c>
      <c r="AD52" s="162"/>
      <c r="AE52" s="162"/>
      <c r="AF52" s="163"/>
      <c r="AG52" s="161">
        <v>96</v>
      </c>
      <c r="AH52" s="162"/>
      <c r="AI52" s="163"/>
      <c r="AJ52" s="164">
        <v>95</v>
      </c>
      <c r="AK52" s="165"/>
      <c r="AL52" s="165"/>
      <c r="AM52" s="165"/>
      <c r="AN52" s="165"/>
      <c r="AO52" s="166"/>
      <c r="AP52" s="161" t="s">
        <v>87</v>
      </c>
      <c r="AQ52" s="162"/>
      <c r="AR52" s="162"/>
      <c r="AS52" s="162"/>
      <c r="AT52" s="162"/>
      <c r="AU52" s="162"/>
      <c r="AV52" s="162"/>
      <c r="AW52" s="162"/>
      <c r="AX52" s="162"/>
      <c r="AY52" s="162"/>
      <c r="AZ52" s="162"/>
      <c r="BA52" s="162"/>
      <c r="BB52" s="162"/>
      <c r="BC52" s="167"/>
    </row>
    <row r="53" spans="2:56" x14ac:dyDescent="0.25">
      <c r="B53" s="158" t="s">
        <v>116</v>
      </c>
      <c r="C53" s="159"/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60"/>
      <c r="U53" s="161">
        <v>94</v>
      </c>
      <c r="V53" s="162"/>
      <c r="W53" s="162"/>
      <c r="X53" s="163"/>
      <c r="Y53" s="161">
        <v>90</v>
      </c>
      <c r="Z53" s="162"/>
      <c r="AA53" s="162"/>
      <c r="AB53" s="163"/>
      <c r="AC53" s="161">
        <v>92</v>
      </c>
      <c r="AD53" s="162"/>
      <c r="AE53" s="162"/>
      <c r="AF53" s="163"/>
      <c r="AG53" s="161">
        <v>94</v>
      </c>
      <c r="AH53" s="162"/>
      <c r="AI53" s="163"/>
      <c r="AJ53" s="161">
        <v>90</v>
      </c>
      <c r="AK53" s="162"/>
      <c r="AL53" s="162"/>
      <c r="AM53" s="162"/>
      <c r="AN53" s="162"/>
      <c r="AO53" s="163"/>
      <c r="AP53" s="161" t="s">
        <v>87</v>
      </c>
      <c r="AQ53" s="162"/>
      <c r="AR53" s="162"/>
      <c r="AS53" s="162"/>
      <c r="AT53" s="162"/>
      <c r="AU53" s="162"/>
      <c r="AV53" s="162"/>
      <c r="AW53" s="162"/>
      <c r="AX53" s="162"/>
      <c r="AY53" s="162"/>
      <c r="AZ53" s="162"/>
      <c r="BA53" s="162"/>
      <c r="BB53" s="162"/>
      <c r="BC53" s="167"/>
    </row>
    <row r="54" spans="2:56" ht="6" customHeight="1" x14ac:dyDescent="0.25"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9"/>
    </row>
    <row r="55" spans="2:56" ht="16.5" customHeight="1" x14ac:dyDescent="0.25">
      <c r="B55" s="94" t="s">
        <v>15</v>
      </c>
      <c r="C55" s="95"/>
      <c r="D55" s="95"/>
      <c r="E55" s="95"/>
      <c r="F55" s="95"/>
      <c r="G55" s="95"/>
      <c r="H55" s="95"/>
      <c r="I55" s="95"/>
      <c r="J55" s="95"/>
      <c r="K55" s="202"/>
      <c r="L55" s="203" t="s">
        <v>64</v>
      </c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2"/>
      <c r="Y55" s="92"/>
      <c r="Z55" s="92"/>
      <c r="AA55" s="92"/>
      <c r="AB55" s="92"/>
      <c r="AC55" s="92"/>
      <c r="AD55" s="92"/>
      <c r="AE55" s="92"/>
      <c r="AF55" s="92"/>
      <c r="AG55" s="99" t="s">
        <v>66</v>
      </c>
      <c r="AH55" s="99"/>
      <c r="AI55" s="99"/>
      <c r="AJ55" s="99"/>
      <c r="AK55" s="99"/>
      <c r="AL55" s="92"/>
      <c r="AM55" s="92"/>
      <c r="AN55" s="92"/>
      <c r="AO55" s="92"/>
      <c r="AP55" s="92"/>
      <c r="AQ55" s="92"/>
      <c r="AR55" s="92"/>
      <c r="AS55" s="92"/>
      <c r="AT55" s="92"/>
      <c r="AU55" s="2"/>
      <c r="AV55" s="2"/>
      <c r="AW55" s="2"/>
      <c r="AX55" s="2"/>
      <c r="AY55" s="2"/>
      <c r="AZ55" s="2"/>
      <c r="BA55" s="2"/>
      <c r="BB55" s="2"/>
      <c r="BC55" s="20"/>
    </row>
    <row r="56" spans="2:56" ht="2.25" customHeight="1" x14ac:dyDescent="0.25">
      <c r="B56" s="21"/>
      <c r="C56" s="15"/>
      <c r="D56" s="15"/>
      <c r="E56" s="15"/>
      <c r="F56" s="15"/>
      <c r="G56" s="15"/>
      <c r="H56" s="15"/>
      <c r="I56" s="15"/>
      <c r="J56" s="15"/>
      <c r="K56" s="15"/>
      <c r="L56" s="25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12"/>
      <c r="Y56" s="12"/>
      <c r="Z56" s="12"/>
      <c r="AA56" s="12"/>
      <c r="AB56" s="12"/>
      <c r="AC56" s="12"/>
      <c r="AD56" s="12"/>
      <c r="AE56" s="12"/>
      <c r="AF56" s="12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7"/>
      <c r="BD56" s="1" t="s">
        <v>65</v>
      </c>
    </row>
    <row r="57" spans="2:56" ht="16.5" customHeight="1" x14ac:dyDescent="0.25">
      <c r="B57" s="183" t="s">
        <v>27</v>
      </c>
      <c r="C57" s="184"/>
      <c r="D57" s="184"/>
      <c r="E57" s="184"/>
      <c r="F57" s="184"/>
      <c r="G57" s="184"/>
      <c r="H57" s="184"/>
      <c r="I57" s="184"/>
      <c r="J57" s="184"/>
      <c r="K57" s="185"/>
      <c r="L57" s="189" t="s">
        <v>10</v>
      </c>
      <c r="M57" s="184"/>
      <c r="N57" s="184"/>
      <c r="O57" s="184"/>
      <c r="P57" s="184"/>
      <c r="Q57" s="184"/>
      <c r="R57" s="184"/>
      <c r="S57" s="184"/>
      <c r="T57" s="185"/>
      <c r="U57" s="189" t="s">
        <v>11</v>
      </c>
      <c r="V57" s="184"/>
      <c r="W57" s="184"/>
      <c r="X57" s="184"/>
      <c r="Y57" s="184"/>
      <c r="Z57" s="184"/>
      <c r="AA57" s="184"/>
      <c r="AB57" s="184"/>
      <c r="AC57" s="184"/>
      <c r="AD57" s="184"/>
      <c r="AE57" s="184"/>
      <c r="AF57" s="184"/>
      <c r="AG57" s="185"/>
      <c r="AH57" s="191" t="s">
        <v>63</v>
      </c>
      <c r="AI57" s="192"/>
      <c r="AJ57" s="192"/>
      <c r="AK57" s="192"/>
      <c r="AL57" s="192"/>
      <c r="AM57" s="192"/>
      <c r="AN57" s="192"/>
      <c r="AO57" s="193"/>
      <c r="AP57" s="189" t="s">
        <v>12</v>
      </c>
      <c r="AQ57" s="184"/>
      <c r="AR57" s="184"/>
      <c r="AS57" s="184"/>
      <c r="AT57" s="184"/>
      <c r="AU57" s="184"/>
      <c r="AV57" s="184"/>
      <c r="AW57" s="184"/>
      <c r="AX57" s="184"/>
      <c r="AY57" s="184"/>
      <c r="AZ57" s="184"/>
      <c r="BA57" s="184"/>
      <c r="BB57" s="184"/>
      <c r="BC57" s="197"/>
    </row>
    <row r="58" spans="2:56" x14ac:dyDescent="0.25">
      <c r="B58" s="186"/>
      <c r="C58" s="187"/>
      <c r="D58" s="187"/>
      <c r="E58" s="187"/>
      <c r="F58" s="187"/>
      <c r="G58" s="187"/>
      <c r="H58" s="187"/>
      <c r="I58" s="187"/>
      <c r="J58" s="187"/>
      <c r="K58" s="188"/>
      <c r="L58" s="190"/>
      <c r="M58" s="187"/>
      <c r="N58" s="187"/>
      <c r="O58" s="187"/>
      <c r="P58" s="187"/>
      <c r="Q58" s="187"/>
      <c r="R58" s="187"/>
      <c r="S58" s="187"/>
      <c r="T58" s="188"/>
      <c r="U58" s="190"/>
      <c r="V58" s="187"/>
      <c r="W58" s="187"/>
      <c r="X58" s="187"/>
      <c r="Y58" s="187"/>
      <c r="Z58" s="187"/>
      <c r="AA58" s="187"/>
      <c r="AB58" s="187"/>
      <c r="AC58" s="187"/>
      <c r="AD58" s="187"/>
      <c r="AE58" s="187"/>
      <c r="AF58" s="187"/>
      <c r="AG58" s="188"/>
      <c r="AH58" s="194"/>
      <c r="AI58" s="195"/>
      <c r="AJ58" s="195"/>
      <c r="AK58" s="195"/>
      <c r="AL58" s="195"/>
      <c r="AM58" s="195"/>
      <c r="AN58" s="195"/>
      <c r="AO58" s="196"/>
      <c r="AP58" s="190"/>
      <c r="AQ58" s="187"/>
      <c r="AR58" s="187"/>
      <c r="AS58" s="187"/>
      <c r="AT58" s="187"/>
      <c r="AU58" s="187"/>
      <c r="AV58" s="187"/>
      <c r="AW58" s="187"/>
      <c r="AX58" s="187"/>
      <c r="AY58" s="187"/>
      <c r="AZ58" s="187"/>
      <c r="BA58" s="187"/>
      <c r="BB58" s="187"/>
      <c r="BC58" s="198"/>
    </row>
    <row r="59" spans="2:56" x14ac:dyDescent="0.25">
      <c r="B59" s="199"/>
      <c r="C59" s="92"/>
      <c r="D59" s="92"/>
      <c r="E59" s="92"/>
      <c r="F59" s="92"/>
      <c r="G59" s="92"/>
      <c r="H59" s="92"/>
      <c r="I59" s="92"/>
      <c r="J59" s="92"/>
      <c r="K59" s="200"/>
      <c r="L59" s="91"/>
      <c r="M59" s="92"/>
      <c r="N59" s="92"/>
      <c r="O59" s="92"/>
      <c r="P59" s="92"/>
      <c r="Q59" s="92"/>
      <c r="R59" s="92"/>
      <c r="S59" s="92"/>
      <c r="T59" s="200"/>
      <c r="U59" s="91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200"/>
      <c r="AH59" s="91"/>
      <c r="AI59" s="92"/>
      <c r="AJ59" s="92"/>
      <c r="AK59" s="92"/>
      <c r="AL59" s="92"/>
      <c r="AM59" s="92"/>
      <c r="AN59" s="92"/>
      <c r="AO59" s="200"/>
      <c r="AP59" s="91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2"/>
      <c r="BC59" s="93"/>
    </row>
    <row r="60" spans="2:56" ht="14.4" thickBot="1" x14ac:dyDescent="0.3">
      <c r="B60" s="178"/>
      <c r="C60" s="179"/>
      <c r="D60" s="179"/>
      <c r="E60" s="179"/>
      <c r="F60" s="179"/>
      <c r="G60" s="179"/>
      <c r="H60" s="179"/>
      <c r="I60" s="179"/>
      <c r="J60" s="179"/>
      <c r="K60" s="180"/>
      <c r="L60" s="181"/>
      <c r="M60" s="179"/>
      <c r="N60" s="179"/>
      <c r="O60" s="179"/>
      <c r="P60" s="179"/>
      <c r="Q60" s="179"/>
      <c r="R60" s="179"/>
      <c r="S60" s="179"/>
      <c r="T60" s="180"/>
      <c r="U60" s="181"/>
      <c r="V60" s="179"/>
      <c r="W60" s="179"/>
      <c r="X60" s="179"/>
      <c r="Y60" s="179"/>
      <c r="Z60" s="179"/>
      <c r="AA60" s="179"/>
      <c r="AB60" s="179"/>
      <c r="AC60" s="179"/>
      <c r="AD60" s="179"/>
      <c r="AE60" s="179"/>
      <c r="AF60" s="179"/>
      <c r="AG60" s="180"/>
      <c r="AH60" s="181"/>
      <c r="AI60" s="179"/>
      <c r="AJ60" s="179"/>
      <c r="AK60" s="179"/>
      <c r="AL60" s="179"/>
      <c r="AM60" s="179"/>
      <c r="AN60" s="179"/>
      <c r="AO60" s="180"/>
      <c r="AP60" s="181"/>
      <c r="AQ60" s="179"/>
      <c r="AR60" s="179"/>
      <c r="AS60" s="179"/>
      <c r="AT60" s="179"/>
      <c r="AU60" s="179"/>
      <c r="AV60" s="179"/>
      <c r="AW60" s="179"/>
      <c r="AX60" s="179"/>
      <c r="AY60" s="179"/>
      <c r="AZ60" s="179"/>
      <c r="BA60" s="179"/>
      <c r="BB60" s="179"/>
      <c r="BC60" s="182"/>
    </row>
    <row r="61" spans="2:56" s="13" customFormat="1" ht="4.5" customHeight="1" thickBot="1" x14ac:dyDescent="0.3"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9"/>
      <c r="AT61" s="119"/>
      <c r="AU61" s="119"/>
      <c r="AV61" s="119"/>
      <c r="AW61" s="119"/>
      <c r="AX61" s="119"/>
      <c r="AY61" s="119"/>
      <c r="AZ61" s="119"/>
      <c r="BA61" s="119"/>
      <c r="BB61" s="119"/>
      <c r="BC61" s="119"/>
    </row>
    <row r="62" spans="2:56" s="13" customFormat="1" x14ac:dyDescent="0.25">
      <c r="B62" s="121" t="s">
        <v>42</v>
      </c>
      <c r="C62" s="122"/>
      <c r="D62" s="122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118" t="s">
        <v>28</v>
      </c>
      <c r="R62" s="118"/>
      <c r="S62" s="118"/>
      <c r="T62" s="118"/>
      <c r="U62" s="201"/>
      <c r="V62" s="201"/>
      <c r="W62" s="201"/>
      <c r="X62" s="201"/>
      <c r="Y62" s="201"/>
      <c r="Z62" s="201"/>
      <c r="AA62" s="118" t="s">
        <v>41</v>
      </c>
      <c r="AB62" s="118"/>
      <c r="AC62" s="118"/>
      <c r="AD62" s="201"/>
      <c r="AE62" s="201"/>
      <c r="AF62" s="201"/>
      <c r="AG62" s="201"/>
      <c r="AH62" s="201"/>
      <c r="AI62" s="201"/>
      <c r="AJ62" s="201"/>
      <c r="AK62" s="201"/>
      <c r="AL62" s="201"/>
      <c r="AM62" s="122" t="s">
        <v>40</v>
      </c>
      <c r="AN62" s="122"/>
      <c r="AO62" s="122"/>
      <c r="AP62" s="201"/>
      <c r="AQ62" s="201"/>
      <c r="AR62" s="201"/>
      <c r="AS62" s="201"/>
      <c r="AT62" s="201"/>
      <c r="AU62" s="201"/>
      <c r="AV62" s="201"/>
      <c r="AW62" s="201"/>
      <c r="AX62" s="201"/>
      <c r="AY62" s="118" t="s">
        <v>55</v>
      </c>
      <c r="AZ62" s="118"/>
      <c r="BA62" s="118"/>
      <c r="BB62" s="201"/>
      <c r="BC62" s="211"/>
    </row>
    <row r="63" spans="2:56" s="13" customFormat="1" x14ac:dyDescent="0.25">
      <c r="B63" s="120" t="s">
        <v>47</v>
      </c>
      <c r="C63" s="101"/>
      <c r="D63" s="101"/>
      <c r="E63" s="101"/>
      <c r="F63" s="101"/>
      <c r="G63" s="101"/>
      <c r="H63" s="101"/>
      <c r="I63" s="92"/>
      <c r="J63" s="92"/>
      <c r="K63" s="123" t="s">
        <v>46</v>
      </c>
      <c r="L63" s="123"/>
      <c r="M63" s="123"/>
      <c r="N63" s="125"/>
      <c r="O63" s="125"/>
      <c r="P63" s="125"/>
      <c r="Q63" s="125"/>
      <c r="R63" s="124" t="s">
        <v>45</v>
      </c>
      <c r="S63" s="124"/>
      <c r="T63" s="124"/>
      <c r="U63" s="124"/>
      <c r="V63" s="92"/>
      <c r="W63" s="92"/>
      <c r="X63" s="92"/>
      <c r="Y63" s="92"/>
      <c r="Z63" s="92"/>
      <c r="AA63" s="102" t="s">
        <v>44</v>
      </c>
      <c r="AB63" s="102"/>
      <c r="AC63" s="102"/>
      <c r="AD63" s="102"/>
      <c r="AE63" s="102"/>
      <c r="AF63" s="102"/>
      <c r="AG63" s="102"/>
      <c r="AH63" s="102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03" t="s">
        <v>43</v>
      </c>
      <c r="AT63" s="103"/>
      <c r="AU63" s="103"/>
      <c r="AV63" s="103"/>
      <c r="AW63" s="125"/>
      <c r="AX63" s="125"/>
      <c r="AY63" s="125"/>
      <c r="AZ63" s="125"/>
      <c r="BA63" s="125"/>
      <c r="BB63" s="125"/>
      <c r="BC63" s="126"/>
    </row>
    <row r="64" spans="2:56" s="13" customFormat="1" ht="2.25" customHeight="1" x14ac:dyDescent="0.25">
      <c r="B64" s="76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77"/>
      <c r="AR64" s="77"/>
      <c r="AS64" s="77"/>
      <c r="AT64" s="77"/>
      <c r="AU64" s="77"/>
      <c r="AV64" s="77"/>
      <c r="AW64" s="77"/>
      <c r="AX64" s="77"/>
      <c r="AY64" s="77"/>
      <c r="AZ64" s="77"/>
      <c r="BA64" s="77"/>
      <c r="BB64" s="77"/>
      <c r="BC64" s="78"/>
    </row>
    <row r="65" spans="2:55" s="13" customFormat="1" ht="16.5" customHeight="1" x14ac:dyDescent="0.25">
      <c r="B65" s="183" t="s">
        <v>26</v>
      </c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/>
      <c r="Q65" s="184"/>
      <c r="R65" s="184"/>
      <c r="S65" s="184"/>
      <c r="T65" s="185"/>
      <c r="U65" s="208" t="s">
        <v>29</v>
      </c>
      <c r="V65" s="116"/>
      <c r="W65" s="116"/>
      <c r="X65" s="116"/>
      <c r="Y65" s="116"/>
      <c r="Z65" s="116"/>
      <c r="AA65" s="116"/>
      <c r="AB65" s="116"/>
      <c r="AC65" s="116"/>
      <c r="AD65" s="116"/>
      <c r="AE65" s="116"/>
      <c r="AF65" s="116"/>
      <c r="AG65" s="116"/>
      <c r="AH65" s="116"/>
      <c r="AI65" s="117"/>
      <c r="AJ65" s="191" t="s">
        <v>62</v>
      </c>
      <c r="AK65" s="192"/>
      <c r="AL65" s="192"/>
      <c r="AM65" s="192"/>
      <c r="AN65" s="192"/>
      <c r="AO65" s="193"/>
      <c r="AP65" s="189" t="s">
        <v>8</v>
      </c>
      <c r="AQ65" s="184"/>
      <c r="AR65" s="184"/>
      <c r="AS65" s="184"/>
      <c r="AT65" s="184"/>
      <c r="AU65" s="184"/>
      <c r="AV65" s="184"/>
      <c r="AW65" s="184"/>
      <c r="AX65" s="184"/>
      <c r="AY65" s="184"/>
      <c r="AZ65" s="184"/>
      <c r="BA65" s="184"/>
      <c r="BB65" s="184"/>
      <c r="BC65" s="197"/>
    </row>
    <row r="66" spans="2:55" s="13" customFormat="1" x14ac:dyDescent="0.25">
      <c r="B66" s="186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8"/>
      <c r="U66" s="208">
        <v>1</v>
      </c>
      <c r="V66" s="116"/>
      <c r="W66" s="116"/>
      <c r="X66" s="117"/>
      <c r="Y66" s="208">
        <v>2</v>
      </c>
      <c r="Z66" s="116"/>
      <c r="AA66" s="116"/>
      <c r="AB66" s="117"/>
      <c r="AC66" s="208">
        <v>3</v>
      </c>
      <c r="AD66" s="116"/>
      <c r="AE66" s="116"/>
      <c r="AF66" s="117"/>
      <c r="AG66" s="208">
        <v>4</v>
      </c>
      <c r="AH66" s="116"/>
      <c r="AI66" s="117"/>
      <c r="AJ66" s="194"/>
      <c r="AK66" s="195"/>
      <c r="AL66" s="195"/>
      <c r="AM66" s="195"/>
      <c r="AN66" s="195"/>
      <c r="AO66" s="196"/>
      <c r="AP66" s="190"/>
      <c r="AQ66" s="187"/>
      <c r="AR66" s="187"/>
      <c r="AS66" s="187"/>
      <c r="AT66" s="187"/>
      <c r="AU66" s="187"/>
      <c r="AV66" s="187"/>
      <c r="AW66" s="187"/>
      <c r="AX66" s="187"/>
      <c r="AY66" s="187"/>
      <c r="AZ66" s="187"/>
      <c r="BA66" s="187"/>
      <c r="BB66" s="187"/>
      <c r="BC66" s="198"/>
    </row>
    <row r="67" spans="2:55" s="13" customFormat="1" x14ac:dyDescent="0.25">
      <c r="B67" s="158" t="s">
        <v>1</v>
      </c>
      <c r="C67" s="159"/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60"/>
      <c r="U67" s="161"/>
      <c r="V67" s="162"/>
      <c r="W67" s="162"/>
      <c r="X67" s="163"/>
      <c r="Y67" s="161"/>
      <c r="Z67" s="162"/>
      <c r="AA67" s="162"/>
      <c r="AB67" s="163"/>
      <c r="AC67" s="161"/>
      <c r="AD67" s="162"/>
      <c r="AE67" s="162"/>
      <c r="AF67" s="163"/>
      <c r="AG67" s="161"/>
      <c r="AH67" s="162"/>
      <c r="AI67" s="163"/>
      <c r="AJ67" s="161"/>
      <c r="AK67" s="162"/>
      <c r="AL67" s="162"/>
      <c r="AM67" s="162"/>
      <c r="AN67" s="162"/>
      <c r="AO67" s="163"/>
      <c r="AP67" s="161"/>
      <c r="AQ67" s="162"/>
      <c r="AR67" s="162"/>
      <c r="AS67" s="162"/>
      <c r="AT67" s="162"/>
      <c r="AU67" s="162"/>
      <c r="AV67" s="162"/>
      <c r="AW67" s="162"/>
      <c r="AX67" s="162"/>
      <c r="AY67" s="162"/>
      <c r="AZ67" s="162"/>
      <c r="BA67" s="162"/>
      <c r="BB67" s="162"/>
      <c r="BC67" s="167"/>
    </row>
    <row r="68" spans="2:55" s="13" customFormat="1" x14ac:dyDescent="0.25">
      <c r="B68" s="158" t="s">
        <v>2</v>
      </c>
      <c r="C68" s="159"/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60"/>
      <c r="U68" s="161"/>
      <c r="V68" s="162"/>
      <c r="W68" s="162"/>
      <c r="X68" s="163"/>
      <c r="Y68" s="161"/>
      <c r="Z68" s="162"/>
      <c r="AA68" s="162"/>
      <c r="AB68" s="163"/>
      <c r="AC68" s="161"/>
      <c r="AD68" s="162"/>
      <c r="AE68" s="162"/>
      <c r="AF68" s="163"/>
      <c r="AG68" s="161"/>
      <c r="AH68" s="162"/>
      <c r="AI68" s="163"/>
      <c r="AJ68" s="161"/>
      <c r="AK68" s="162"/>
      <c r="AL68" s="162"/>
      <c r="AM68" s="162"/>
      <c r="AN68" s="162"/>
      <c r="AO68" s="163"/>
      <c r="AP68" s="161"/>
      <c r="AQ68" s="162"/>
      <c r="AR68" s="162"/>
      <c r="AS68" s="162"/>
      <c r="AT68" s="162"/>
      <c r="AU68" s="162"/>
      <c r="AV68" s="162"/>
      <c r="AW68" s="162"/>
      <c r="AX68" s="162"/>
      <c r="AY68" s="162"/>
      <c r="AZ68" s="162"/>
      <c r="BA68" s="162"/>
      <c r="BB68" s="162"/>
      <c r="BC68" s="167"/>
    </row>
    <row r="69" spans="2:55" s="13" customFormat="1" x14ac:dyDescent="0.25">
      <c r="B69" s="158" t="s">
        <v>3</v>
      </c>
      <c r="C69" s="159"/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60"/>
      <c r="U69" s="161"/>
      <c r="V69" s="162"/>
      <c r="W69" s="162"/>
      <c r="X69" s="163"/>
      <c r="Y69" s="161"/>
      <c r="Z69" s="162"/>
      <c r="AA69" s="162"/>
      <c r="AB69" s="163"/>
      <c r="AC69" s="161"/>
      <c r="AD69" s="162"/>
      <c r="AE69" s="162"/>
      <c r="AF69" s="163"/>
      <c r="AG69" s="161"/>
      <c r="AH69" s="162"/>
      <c r="AI69" s="163"/>
      <c r="AJ69" s="161"/>
      <c r="AK69" s="162"/>
      <c r="AL69" s="162"/>
      <c r="AM69" s="162"/>
      <c r="AN69" s="162"/>
      <c r="AO69" s="163"/>
      <c r="AP69" s="161"/>
      <c r="AQ69" s="162"/>
      <c r="AR69" s="162"/>
      <c r="AS69" s="162"/>
      <c r="AT69" s="162"/>
      <c r="AU69" s="162"/>
      <c r="AV69" s="162"/>
      <c r="AW69" s="162"/>
      <c r="AX69" s="162"/>
      <c r="AY69" s="162"/>
      <c r="AZ69" s="162"/>
      <c r="BA69" s="162"/>
      <c r="BB69" s="162"/>
      <c r="BC69" s="167"/>
    </row>
    <row r="70" spans="2:55" s="13" customFormat="1" x14ac:dyDescent="0.25">
      <c r="B70" s="158" t="s">
        <v>57</v>
      </c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60"/>
      <c r="U70" s="161"/>
      <c r="V70" s="162"/>
      <c r="W70" s="162"/>
      <c r="X70" s="163"/>
      <c r="Y70" s="161"/>
      <c r="Z70" s="162"/>
      <c r="AA70" s="162"/>
      <c r="AB70" s="163"/>
      <c r="AC70" s="161"/>
      <c r="AD70" s="162"/>
      <c r="AE70" s="162"/>
      <c r="AF70" s="163"/>
      <c r="AG70" s="161"/>
      <c r="AH70" s="162"/>
      <c r="AI70" s="163"/>
      <c r="AJ70" s="161"/>
      <c r="AK70" s="162"/>
      <c r="AL70" s="162"/>
      <c r="AM70" s="162"/>
      <c r="AN70" s="162"/>
      <c r="AO70" s="163"/>
      <c r="AP70" s="161"/>
      <c r="AQ70" s="162"/>
      <c r="AR70" s="162"/>
      <c r="AS70" s="162"/>
      <c r="AT70" s="162"/>
      <c r="AU70" s="162"/>
      <c r="AV70" s="162"/>
      <c r="AW70" s="162"/>
      <c r="AX70" s="162"/>
      <c r="AY70" s="162"/>
      <c r="AZ70" s="162"/>
      <c r="BA70" s="162"/>
      <c r="BB70" s="162"/>
      <c r="BC70" s="167"/>
    </row>
    <row r="71" spans="2:55" s="13" customFormat="1" x14ac:dyDescent="0.25">
      <c r="B71" s="158" t="s">
        <v>4</v>
      </c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60"/>
      <c r="U71" s="161"/>
      <c r="V71" s="162"/>
      <c r="W71" s="162"/>
      <c r="X71" s="163"/>
      <c r="Y71" s="161"/>
      <c r="Z71" s="162"/>
      <c r="AA71" s="162"/>
      <c r="AB71" s="163"/>
      <c r="AC71" s="161"/>
      <c r="AD71" s="162"/>
      <c r="AE71" s="162"/>
      <c r="AF71" s="163"/>
      <c r="AG71" s="161"/>
      <c r="AH71" s="162"/>
      <c r="AI71" s="163"/>
      <c r="AJ71" s="161"/>
      <c r="AK71" s="162"/>
      <c r="AL71" s="162"/>
      <c r="AM71" s="162"/>
      <c r="AN71" s="162"/>
      <c r="AO71" s="163"/>
      <c r="AP71" s="161"/>
      <c r="AQ71" s="162"/>
      <c r="AR71" s="162"/>
      <c r="AS71" s="162"/>
      <c r="AT71" s="162"/>
      <c r="AU71" s="162"/>
      <c r="AV71" s="162"/>
      <c r="AW71" s="162"/>
      <c r="AX71" s="162"/>
      <c r="AY71" s="162"/>
      <c r="AZ71" s="162"/>
      <c r="BA71" s="162"/>
      <c r="BB71" s="162"/>
      <c r="BC71" s="167"/>
    </row>
    <row r="72" spans="2:55" s="13" customFormat="1" x14ac:dyDescent="0.25">
      <c r="B72" s="158" t="s">
        <v>5</v>
      </c>
      <c r="C72" s="159"/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60"/>
      <c r="U72" s="161"/>
      <c r="V72" s="162"/>
      <c r="W72" s="162"/>
      <c r="X72" s="163"/>
      <c r="Y72" s="161"/>
      <c r="Z72" s="162"/>
      <c r="AA72" s="162"/>
      <c r="AB72" s="163"/>
      <c r="AC72" s="161"/>
      <c r="AD72" s="162"/>
      <c r="AE72" s="162"/>
      <c r="AF72" s="163"/>
      <c r="AG72" s="161"/>
      <c r="AH72" s="162"/>
      <c r="AI72" s="163"/>
      <c r="AJ72" s="161"/>
      <c r="AK72" s="162"/>
      <c r="AL72" s="162"/>
      <c r="AM72" s="162"/>
      <c r="AN72" s="162"/>
      <c r="AO72" s="163"/>
      <c r="AP72" s="161"/>
      <c r="AQ72" s="162"/>
      <c r="AR72" s="162"/>
      <c r="AS72" s="162"/>
      <c r="AT72" s="162"/>
      <c r="AU72" s="162"/>
      <c r="AV72" s="162"/>
      <c r="AW72" s="162"/>
      <c r="AX72" s="162"/>
      <c r="AY72" s="162"/>
      <c r="AZ72" s="162"/>
      <c r="BA72" s="162"/>
      <c r="BB72" s="162"/>
      <c r="BC72" s="167"/>
    </row>
    <row r="73" spans="2:55" s="13" customFormat="1" x14ac:dyDescent="0.25">
      <c r="B73" s="158" t="s">
        <v>6</v>
      </c>
      <c r="C73" s="159"/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60"/>
      <c r="U73" s="161"/>
      <c r="V73" s="162"/>
      <c r="W73" s="162"/>
      <c r="X73" s="163"/>
      <c r="Y73" s="161"/>
      <c r="Z73" s="162"/>
      <c r="AA73" s="162"/>
      <c r="AB73" s="163"/>
      <c r="AC73" s="161"/>
      <c r="AD73" s="162"/>
      <c r="AE73" s="162"/>
      <c r="AF73" s="163"/>
      <c r="AG73" s="161"/>
      <c r="AH73" s="162"/>
      <c r="AI73" s="163"/>
      <c r="AJ73" s="161"/>
      <c r="AK73" s="162"/>
      <c r="AL73" s="162"/>
      <c r="AM73" s="162"/>
      <c r="AN73" s="162"/>
      <c r="AO73" s="163"/>
      <c r="AP73" s="161"/>
      <c r="AQ73" s="162"/>
      <c r="AR73" s="162"/>
      <c r="AS73" s="162"/>
      <c r="AT73" s="162"/>
      <c r="AU73" s="162"/>
      <c r="AV73" s="162"/>
      <c r="AW73" s="162"/>
      <c r="AX73" s="162"/>
      <c r="AY73" s="162"/>
      <c r="AZ73" s="162"/>
      <c r="BA73" s="162"/>
      <c r="BB73" s="162"/>
      <c r="BC73" s="167"/>
    </row>
    <row r="74" spans="2:55" s="13" customFormat="1" x14ac:dyDescent="0.25">
      <c r="B74" s="158" t="s">
        <v>7</v>
      </c>
      <c r="C74" s="159"/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60"/>
      <c r="U74" s="161"/>
      <c r="V74" s="162"/>
      <c r="W74" s="162"/>
      <c r="X74" s="163"/>
      <c r="Y74" s="161"/>
      <c r="Z74" s="162"/>
      <c r="AA74" s="162"/>
      <c r="AB74" s="163"/>
      <c r="AC74" s="161"/>
      <c r="AD74" s="162"/>
      <c r="AE74" s="162"/>
      <c r="AF74" s="163"/>
      <c r="AG74" s="161"/>
      <c r="AH74" s="162"/>
      <c r="AI74" s="163"/>
      <c r="AJ74" s="161"/>
      <c r="AK74" s="162"/>
      <c r="AL74" s="162"/>
      <c r="AM74" s="162"/>
      <c r="AN74" s="162"/>
      <c r="AO74" s="163"/>
      <c r="AP74" s="161"/>
      <c r="AQ74" s="162"/>
      <c r="AR74" s="162"/>
      <c r="AS74" s="162"/>
      <c r="AT74" s="162"/>
      <c r="AU74" s="162"/>
      <c r="AV74" s="162"/>
      <c r="AW74" s="162"/>
      <c r="AX74" s="162"/>
      <c r="AY74" s="162"/>
      <c r="AZ74" s="162"/>
      <c r="BA74" s="162"/>
      <c r="BB74" s="162"/>
      <c r="BC74" s="167"/>
    </row>
    <row r="75" spans="2:55" s="13" customFormat="1" ht="16.5" customHeight="1" x14ac:dyDescent="0.25">
      <c r="B75" s="204" t="s">
        <v>58</v>
      </c>
      <c r="C75" s="205"/>
      <c r="D75" s="205"/>
      <c r="E75" s="205"/>
      <c r="F75" s="205"/>
      <c r="G75" s="205"/>
      <c r="H75" s="205"/>
      <c r="I75" s="205"/>
      <c r="J75" s="205"/>
      <c r="K75" s="205"/>
      <c r="L75" s="205"/>
      <c r="M75" s="205"/>
      <c r="N75" s="205"/>
      <c r="O75" s="205"/>
      <c r="P75" s="205"/>
      <c r="Q75" s="205"/>
      <c r="R75" s="205"/>
      <c r="S75" s="205"/>
      <c r="T75" s="206"/>
      <c r="U75" s="161"/>
      <c r="V75" s="162"/>
      <c r="W75" s="162"/>
      <c r="X75" s="163"/>
      <c r="Y75" s="161"/>
      <c r="Z75" s="162"/>
      <c r="AA75" s="162"/>
      <c r="AB75" s="163"/>
      <c r="AC75" s="161"/>
      <c r="AD75" s="162"/>
      <c r="AE75" s="162"/>
      <c r="AF75" s="163"/>
      <c r="AG75" s="161"/>
      <c r="AH75" s="162"/>
      <c r="AI75" s="163"/>
      <c r="AJ75" s="161"/>
      <c r="AK75" s="162"/>
      <c r="AL75" s="162"/>
      <c r="AM75" s="162"/>
      <c r="AN75" s="162"/>
      <c r="AO75" s="163"/>
      <c r="AP75" s="161"/>
      <c r="AQ75" s="162"/>
      <c r="AR75" s="162"/>
      <c r="AS75" s="162"/>
      <c r="AT75" s="162"/>
      <c r="AU75" s="162"/>
      <c r="AV75" s="162"/>
      <c r="AW75" s="162"/>
      <c r="AX75" s="162"/>
      <c r="AY75" s="162"/>
      <c r="AZ75" s="162"/>
      <c r="BA75" s="162"/>
      <c r="BB75" s="162"/>
      <c r="BC75" s="167"/>
    </row>
    <row r="76" spans="2:55" s="13" customFormat="1" x14ac:dyDescent="0.25">
      <c r="B76" s="204" t="s">
        <v>59</v>
      </c>
      <c r="C76" s="205"/>
      <c r="D76" s="205"/>
      <c r="E76" s="205"/>
      <c r="F76" s="205"/>
      <c r="G76" s="205"/>
      <c r="H76" s="205"/>
      <c r="I76" s="205"/>
      <c r="J76" s="205"/>
      <c r="K76" s="205"/>
      <c r="L76" s="205"/>
      <c r="M76" s="205"/>
      <c r="N76" s="205"/>
      <c r="O76" s="205"/>
      <c r="P76" s="205"/>
      <c r="Q76" s="205"/>
      <c r="R76" s="205"/>
      <c r="S76" s="205"/>
      <c r="T76" s="206"/>
      <c r="U76" s="161"/>
      <c r="V76" s="162"/>
      <c r="W76" s="162"/>
      <c r="X76" s="163"/>
      <c r="Y76" s="161"/>
      <c r="Z76" s="162"/>
      <c r="AA76" s="162"/>
      <c r="AB76" s="163"/>
      <c r="AC76" s="161"/>
      <c r="AD76" s="162"/>
      <c r="AE76" s="162"/>
      <c r="AF76" s="163"/>
      <c r="AG76" s="161"/>
      <c r="AH76" s="162"/>
      <c r="AI76" s="163"/>
      <c r="AJ76" s="161"/>
      <c r="AK76" s="162"/>
      <c r="AL76" s="162"/>
      <c r="AM76" s="162"/>
      <c r="AN76" s="162"/>
      <c r="AO76" s="163"/>
      <c r="AP76" s="161"/>
      <c r="AQ76" s="162"/>
      <c r="AR76" s="162"/>
      <c r="AS76" s="162"/>
      <c r="AT76" s="162"/>
      <c r="AU76" s="162"/>
      <c r="AV76" s="162"/>
      <c r="AW76" s="162"/>
      <c r="AX76" s="162"/>
      <c r="AY76" s="162"/>
      <c r="AZ76" s="162"/>
      <c r="BA76" s="162"/>
      <c r="BB76" s="162"/>
      <c r="BC76" s="167"/>
    </row>
    <row r="77" spans="2:55" s="13" customFormat="1" x14ac:dyDescent="0.25">
      <c r="B77" s="204" t="s">
        <v>60</v>
      </c>
      <c r="C77" s="205"/>
      <c r="D77" s="205"/>
      <c r="E77" s="205"/>
      <c r="F77" s="205"/>
      <c r="G77" s="205"/>
      <c r="H77" s="205"/>
      <c r="I77" s="205"/>
      <c r="J77" s="205"/>
      <c r="K77" s="205"/>
      <c r="L77" s="205"/>
      <c r="M77" s="205"/>
      <c r="N77" s="205"/>
      <c r="O77" s="205"/>
      <c r="P77" s="205"/>
      <c r="Q77" s="205"/>
      <c r="R77" s="205"/>
      <c r="S77" s="205"/>
      <c r="T77" s="206"/>
      <c r="U77" s="161"/>
      <c r="V77" s="162"/>
      <c r="W77" s="162"/>
      <c r="X77" s="163"/>
      <c r="Y77" s="161"/>
      <c r="Z77" s="162"/>
      <c r="AA77" s="162"/>
      <c r="AB77" s="163"/>
      <c r="AC77" s="161"/>
      <c r="AD77" s="162"/>
      <c r="AE77" s="162"/>
      <c r="AF77" s="163"/>
      <c r="AG77" s="161"/>
      <c r="AH77" s="162"/>
      <c r="AI77" s="163"/>
      <c r="AJ77" s="161"/>
      <c r="AK77" s="162"/>
      <c r="AL77" s="162"/>
      <c r="AM77" s="162"/>
      <c r="AN77" s="162"/>
      <c r="AO77" s="163"/>
      <c r="AP77" s="161"/>
      <c r="AQ77" s="162"/>
      <c r="AR77" s="162"/>
      <c r="AS77" s="162"/>
      <c r="AT77" s="162"/>
      <c r="AU77" s="162"/>
      <c r="AV77" s="162"/>
      <c r="AW77" s="162"/>
      <c r="AX77" s="162"/>
      <c r="AY77" s="162"/>
      <c r="AZ77" s="162"/>
      <c r="BA77" s="162"/>
      <c r="BB77" s="162"/>
      <c r="BC77" s="167"/>
    </row>
    <row r="78" spans="2:55" s="13" customFormat="1" x14ac:dyDescent="0.25">
      <c r="B78" s="204" t="s">
        <v>61</v>
      </c>
      <c r="C78" s="205"/>
      <c r="D78" s="205"/>
      <c r="E78" s="205"/>
      <c r="F78" s="205"/>
      <c r="G78" s="205"/>
      <c r="H78" s="205"/>
      <c r="I78" s="205"/>
      <c r="J78" s="205"/>
      <c r="K78" s="205"/>
      <c r="L78" s="205"/>
      <c r="M78" s="205"/>
      <c r="N78" s="205"/>
      <c r="O78" s="205"/>
      <c r="P78" s="205"/>
      <c r="Q78" s="205"/>
      <c r="R78" s="205"/>
      <c r="S78" s="205"/>
      <c r="T78" s="206"/>
      <c r="U78" s="161"/>
      <c r="V78" s="162"/>
      <c r="W78" s="162"/>
      <c r="X78" s="163"/>
      <c r="Y78" s="161"/>
      <c r="Z78" s="162"/>
      <c r="AA78" s="162"/>
      <c r="AB78" s="163"/>
      <c r="AC78" s="161"/>
      <c r="AD78" s="162"/>
      <c r="AE78" s="162"/>
      <c r="AF78" s="163"/>
      <c r="AG78" s="161"/>
      <c r="AH78" s="162"/>
      <c r="AI78" s="163"/>
      <c r="AJ78" s="161"/>
      <c r="AK78" s="162"/>
      <c r="AL78" s="162"/>
      <c r="AM78" s="162"/>
      <c r="AN78" s="162"/>
      <c r="AO78" s="163"/>
      <c r="AP78" s="161"/>
      <c r="AQ78" s="162"/>
      <c r="AR78" s="162"/>
      <c r="AS78" s="162"/>
      <c r="AT78" s="162"/>
      <c r="AU78" s="162"/>
      <c r="AV78" s="162"/>
      <c r="AW78" s="162"/>
      <c r="AX78" s="162"/>
      <c r="AY78" s="162"/>
      <c r="AZ78" s="162"/>
      <c r="BA78" s="162"/>
      <c r="BB78" s="162"/>
      <c r="BC78" s="167"/>
    </row>
    <row r="79" spans="2:55" s="13" customFormat="1" x14ac:dyDescent="0.25">
      <c r="B79" s="158" t="s">
        <v>89</v>
      </c>
      <c r="C79" s="159"/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60"/>
      <c r="U79" s="161"/>
      <c r="V79" s="162"/>
      <c r="W79" s="162"/>
      <c r="X79" s="163"/>
      <c r="Y79" s="161"/>
      <c r="Z79" s="162"/>
      <c r="AA79" s="162"/>
      <c r="AB79" s="163"/>
      <c r="AC79" s="161"/>
      <c r="AD79" s="162"/>
      <c r="AE79" s="162"/>
      <c r="AF79" s="163"/>
      <c r="AG79" s="161"/>
      <c r="AH79" s="162"/>
      <c r="AI79" s="163"/>
      <c r="AJ79" s="161"/>
      <c r="AK79" s="162"/>
      <c r="AL79" s="162"/>
      <c r="AM79" s="162"/>
      <c r="AN79" s="162"/>
      <c r="AO79" s="163"/>
      <c r="AP79" s="161"/>
      <c r="AQ79" s="162"/>
      <c r="AR79" s="162"/>
      <c r="AS79" s="162"/>
      <c r="AT79" s="162"/>
      <c r="AU79" s="162"/>
      <c r="AV79" s="162"/>
      <c r="AW79" s="162"/>
      <c r="AX79" s="162"/>
      <c r="AY79" s="162"/>
      <c r="AZ79" s="162"/>
      <c r="BA79" s="162"/>
      <c r="BB79" s="162"/>
      <c r="BC79" s="167"/>
    </row>
    <row r="80" spans="2:55" s="13" customFormat="1" x14ac:dyDescent="0.25">
      <c r="B80" s="149" t="s">
        <v>90</v>
      </c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1"/>
      <c r="U80" s="161"/>
      <c r="V80" s="162"/>
      <c r="W80" s="162"/>
      <c r="X80" s="163"/>
      <c r="Y80" s="161"/>
      <c r="Z80" s="162"/>
      <c r="AA80" s="162"/>
      <c r="AB80" s="163"/>
      <c r="AC80" s="161"/>
      <c r="AD80" s="162"/>
      <c r="AE80" s="162"/>
      <c r="AF80" s="163"/>
      <c r="AG80" s="161"/>
      <c r="AH80" s="162"/>
      <c r="AI80" s="163"/>
      <c r="AJ80" s="161"/>
      <c r="AK80" s="162"/>
      <c r="AL80" s="162"/>
      <c r="AM80" s="162"/>
      <c r="AN80" s="162"/>
      <c r="AO80" s="163"/>
      <c r="AP80" s="161"/>
      <c r="AQ80" s="162"/>
      <c r="AR80" s="162"/>
      <c r="AS80" s="162"/>
      <c r="AT80" s="162"/>
      <c r="AU80" s="162"/>
      <c r="AV80" s="162"/>
      <c r="AW80" s="162"/>
      <c r="AX80" s="162"/>
      <c r="AY80" s="162"/>
      <c r="AZ80" s="162"/>
      <c r="BA80" s="162"/>
      <c r="BB80" s="162"/>
      <c r="BC80" s="167"/>
    </row>
    <row r="81" spans="2:56" s="13" customFormat="1" x14ac:dyDescent="0.25">
      <c r="B81" s="149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1"/>
      <c r="U81" s="152" t="s">
        <v>9</v>
      </c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4"/>
      <c r="AJ81" s="212"/>
      <c r="AK81" s="150"/>
      <c r="AL81" s="150"/>
      <c r="AM81" s="150"/>
      <c r="AN81" s="150"/>
      <c r="AO81" s="151"/>
      <c r="AP81" s="212"/>
      <c r="AQ81" s="150"/>
      <c r="AR81" s="150"/>
      <c r="AS81" s="150"/>
      <c r="AT81" s="150"/>
      <c r="AU81" s="150"/>
      <c r="AV81" s="150"/>
      <c r="AW81" s="150"/>
      <c r="AX81" s="150"/>
      <c r="AY81" s="150"/>
      <c r="AZ81" s="150"/>
      <c r="BA81" s="150"/>
      <c r="BB81" s="150"/>
      <c r="BC81" s="213"/>
    </row>
    <row r="82" spans="2:56" s="13" customFormat="1" ht="6" customHeight="1" x14ac:dyDescent="0.25">
      <c r="B82" s="17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9"/>
    </row>
    <row r="83" spans="2:56" s="13" customFormat="1" ht="16.5" customHeight="1" x14ac:dyDescent="0.25">
      <c r="B83" s="94" t="s">
        <v>15</v>
      </c>
      <c r="C83" s="95"/>
      <c r="D83" s="95"/>
      <c r="E83" s="95"/>
      <c r="F83" s="95"/>
      <c r="G83" s="95"/>
      <c r="H83" s="95"/>
      <c r="I83" s="95"/>
      <c r="J83" s="95"/>
      <c r="K83" s="202"/>
      <c r="L83" s="203" t="s">
        <v>64</v>
      </c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2"/>
      <c r="Y83" s="92"/>
      <c r="Z83" s="92"/>
      <c r="AA83" s="92"/>
      <c r="AB83" s="92"/>
      <c r="AC83" s="92"/>
      <c r="AD83" s="92"/>
      <c r="AE83" s="92"/>
      <c r="AF83" s="92"/>
      <c r="AG83" s="99" t="s">
        <v>66</v>
      </c>
      <c r="AH83" s="99"/>
      <c r="AI83" s="99"/>
      <c r="AJ83" s="99"/>
      <c r="AK83" s="99"/>
      <c r="AL83" s="92"/>
      <c r="AM83" s="92"/>
      <c r="AN83" s="92"/>
      <c r="AO83" s="92"/>
      <c r="AP83" s="92"/>
      <c r="AQ83" s="92"/>
      <c r="AR83" s="92"/>
      <c r="AS83" s="92"/>
      <c r="AT83" s="92"/>
      <c r="AU83" s="14"/>
      <c r="AV83" s="14"/>
      <c r="AW83" s="14"/>
      <c r="AX83" s="14"/>
      <c r="AY83" s="14"/>
      <c r="AZ83" s="14"/>
      <c r="BA83" s="14"/>
      <c r="BB83" s="14"/>
      <c r="BC83" s="20"/>
    </row>
    <row r="84" spans="2:56" s="13" customFormat="1" ht="2.25" customHeight="1" x14ac:dyDescent="0.25">
      <c r="B84" s="21"/>
      <c r="C84" s="15"/>
      <c r="D84" s="15"/>
      <c r="E84" s="15"/>
      <c r="F84" s="15"/>
      <c r="G84" s="15"/>
      <c r="H84" s="15"/>
      <c r="I84" s="15"/>
      <c r="J84" s="15"/>
      <c r="K84" s="15"/>
      <c r="L84" s="25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12"/>
      <c r="Y84" s="12"/>
      <c r="Z84" s="12"/>
      <c r="AA84" s="12"/>
      <c r="AB84" s="12"/>
      <c r="AC84" s="12"/>
      <c r="AD84" s="12"/>
      <c r="AE84" s="12"/>
      <c r="AF84" s="12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7"/>
      <c r="BD84" s="13" t="s">
        <v>65</v>
      </c>
    </row>
    <row r="85" spans="2:56" s="13" customFormat="1" ht="16.5" customHeight="1" x14ac:dyDescent="0.25">
      <c r="B85" s="183" t="s">
        <v>27</v>
      </c>
      <c r="C85" s="184"/>
      <c r="D85" s="184"/>
      <c r="E85" s="184"/>
      <c r="F85" s="184"/>
      <c r="G85" s="184"/>
      <c r="H85" s="184"/>
      <c r="I85" s="184"/>
      <c r="J85" s="184"/>
      <c r="K85" s="185"/>
      <c r="L85" s="189" t="s">
        <v>10</v>
      </c>
      <c r="M85" s="184"/>
      <c r="N85" s="184"/>
      <c r="O85" s="184"/>
      <c r="P85" s="184"/>
      <c r="Q85" s="184"/>
      <c r="R85" s="184"/>
      <c r="S85" s="184"/>
      <c r="T85" s="185"/>
      <c r="U85" s="189" t="s">
        <v>11</v>
      </c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5"/>
      <c r="AH85" s="191" t="s">
        <v>63</v>
      </c>
      <c r="AI85" s="192"/>
      <c r="AJ85" s="192"/>
      <c r="AK85" s="192"/>
      <c r="AL85" s="192"/>
      <c r="AM85" s="192"/>
      <c r="AN85" s="192"/>
      <c r="AO85" s="193"/>
      <c r="AP85" s="189" t="s">
        <v>12</v>
      </c>
      <c r="AQ85" s="184"/>
      <c r="AR85" s="184"/>
      <c r="AS85" s="184"/>
      <c r="AT85" s="184"/>
      <c r="AU85" s="184"/>
      <c r="AV85" s="184"/>
      <c r="AW85" s="184"/>
      <c r="AX85" s="184"/>
      <c r="AY85" s="184"/>
      <c r="AZ85" s="184"/>
      <c r="BA85" s="184"/>
      <c r="BB85" s="184"/>
      <c r="BC85" s="197"/>
    </row>
    <row r="86" spans="2:56" s="13" customFormat="1" x14ac:dyDescent="0.25">
      <c r="B86" s="186"/>
      <c r="C86" s="187"/>
      <c r="D86" s="187"/>
      <c r="E86" s="187"/>
      <c r="F86" s="187"/>
      <c r="G86" s="187"/>
      <c r="H86" s="187"/>
      <c r="I86" s="187"/>
      <c r="J86" s="187"/>
      <c r="K86" s="188"/>
      <c r="L86" s="190"/>
      <c r="M86" s="187"/>
      <c r="N86" s="187"/>
      <c r="O86" s="187"/>
      <c r="P86" s="187"/>
      <c r="Q86" s="187"/>
      <c r="R86" s="187"/>
      <c r="S86" s="187"/>
      <c r="T86" s="188"/>
      <c r="U86" s="190"/>
      <c r="V86" s="187"/>
      <c r="W86" s="187"/>
      <c r="X86" s="187"/>
      <c r="Y86" s="187"/>
      <c r="Z86" s="187"/>
      <c r="AA86" s="187"/>
      <c r="AB86" s="187"/>
      <c r="AC86" s="187"/>
      <c r="AD86" s="187"/>
      <c r="AE86" s="187"/>
      <c r="AF86" s="187"/>
      <c r="AG86" s="188"/>
      <c r="AH86" s="194"/>
      <c r="AI86" s="195"/>
      <c r="AJ86" s="195"/>
      <c r="AK86" s="195"/>
      <c r="AL86" s="195"/>
      <c r="AM86" s="195"/>
      <c r="AN86" s="195"/>
      <c r="AO86" s="196"/>
      <c r="AP86" s="190"/>
      <c r="AQ86" s="187"/>
      <c r="AR86" s="187"/>
      <c r="AS86" s="187"/>
      <c r="AT86" s="187"/>
      <c r="AU86" s="187"/>
      <c r="AV86" s="187"/>
      <c r="AW86" s="187"/>
      <c r="AX86" s="187"/>
      <c r="AY86" s="187"/>
      <c r="AZ86" s="187"/>
      <c r="BA86" s="187"/>
      <c r="BB86" s="187"/>
      <c r="BC86" s="198"/>
    </row>
    <row r="87" spans="2:56" s="13" customFormat="1" x14ac:dyDescent="0.25">
      <c r="B87" s="199"/>
      <c r="C87" s="92"/>
      <c r="D87" s="92"/>
      <c r="E87" s="92"/>
      <c r="F87" s="92"/>
      <c r="G87" s="92"/>
      <c r="H87" s="92"/>
      <c r="I87" s="92"/>
      <c r="J87" s="92"/>
      <c r="K87" s="200"/>
      <c r="L87" s="91"/>
      <c r="M87" s="92"/>
      <c r="N87" s="92"/>
      <c r="O87" s="92"/>
      <c r="P87" s="92"/>
      <c r="Q87" s="92"/>
      <c r="R87" s="92"/>
      <c r="S87" s="92"/>
      <c r="T87" s="200"/>
      <c r="U87" s="91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200"/>
      <c r="AH87" s="91"/>
      <c r="AI87" s="92"/>
      <c r="AJ87" s="92"/>
      <c r="AK87" s="92"/>
      <c r="AL87" s="92"/>
      <c r="AM87" s="92"/>
      <c r="AN87" s="92"/>
      <c r="AO87" s="200"/>
      <c r="AP87" s="91"/>
      <c r="AQ87" s="92"/>
      <c r="AR87" s="92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3"/>
    </row>
    <row r="88" spans="2:56" s="13" customFormat="1" ht="14.4" thickBot="1" x14ac:dyDescent="0.3">
      <c r="B88" s="178"/>
      <c r="C88" s="179"/>
      <c r="D88" s="179"/>
      <c r="E88" s="179"/>
      <c r="F88" s="179"/>
      <c r="G88" s="179"/>
      <c r="H88" s="179"/>
      <c r="I88" s="179"/>
      <c r="J88" s="179"/>
      <c r="K88" s="180"/>
      <c r="L88" s="181"/>
      <c r="M88" s="179"/>
      <c r="N88" s="179"/>
      <c r="O88" s="179"/>
      <c r="P88" s="179"/>
      <c r="Q88" s="179"/>
      <c r="R88" s="179"/>
      <c r="S88" s="179"/>
      <c r="T88" s="180"/>
      <c r="U88" s="181"/>
      <c r="V88" s="179"/>
      <c r="W88" s="179"/>
      <c r="X88" s="179"/>
      <c r="Y88" s="179"/>
      <c r="Z88" s="179"/>
      <c r="AA88" s="179"/>
      <c r="AB88" s="179"/>
      <c r="AC88" s="179"/>
      <c r="AD88" s="179"/>
      <c r="AE88" s="179"/>
      <c r="AF88" s="179"/>
      <c r="AG88" s="180"/>
      <c r="AH88" s="181"/>
      <c r="AI88" s="179"/>
      <c r="AJ88" s="179"/>
      <c r="AK88" s="179"/>
      <c r="AL88" s="179"/>
      <c r="AM88" s="179"/>
      <c r="AN88" s="179"/>
      <c r="AO88" s="180"/>
      <c r="AP88" s="181"/>
      <c r="AQ88" s="179"/>
      <c r="AR88" s="179"/>
      <c r="AS88" s="179"/>
      <c r="AT88" s="179"/>
      <c r="AU88" s="179"/>
      <c r="AV88" s="179"/>
      <c r="AW88" s="179"/>
      <c r="AX88" s="179"/>
      <c r="AY88" s="179"/>
      <c r="AZ88" s="179"/>
      <c r="BA88" s="179"/>
      <c r="BB88" s="179"/>
      <c r="BC88" s="182"/>
    </row>
    <row r="89" spans="2:56" ht="14.4" thickBot="1" x14ac:dyDescent="0.3">
      <c r="B89" s="10" t="s">
        <v>73</v>
      </c>
    </row>
    <row r="90" spans="2:56" ht="18.600000000000001" thickBot="1" x14ac:dyDescent="0.4">
      <c r="B90" s="142" t="s">
        <v>13</v>
      </c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3"/>
      <c r="AY90" s="143"/>
      <c r="AZ90" s="143"/>
      <c r="BA90" s="143"/>
      <c r="BB90" s="143"/>
      <c r="BC90" s="144"/>
      <c r="BD90" s="23"/>
    </row>
    <row r="91" spans="2:56" x14ac:dyDescent="0.25">
      <c r="B91" s="174"/>
      <c r="C91" s="175"/>
      <c r="D91" s="175"/>
      <c r="E91" s="175"/>
      <c r="F91" s="175"/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  <c r="AA91" s="175"/>
      <c r="AB91" s="175"/>
      <c r="AC91" s="175"/>
      <c r="AD91" s="175"/>
      <c r="AE91" s="175"/>
      <c r="AF91" s="175"/>
      <c r="AG91" s="175"/>
      <c r="AH91" s="175"/>
      <c r="AI91" s="175"/>
      <c r="AJ91" s="175"/>
      <c r="AK91" s="175"/>
      <c r="AL91" s="175"/>
      <c r="AM91" s="175"/>
      <c r="AN91" s="175"/>
      <c r="AO91" s="175"/>
      <c r="AP91" s="175"/>
      <c r="AQ91" s="175"/>
      <c r="AR91" s="175"/>
      <c r="AS91" s="175"/>
      <c r="AT91" s="175"/>
      <c r="AU91" s="175"/>
      <c r="AV91" s="175"/>
      <c r="AW91" s="175"/>
      <c r="AX91" s="175"/>
      <c r="AY91" s="175"/>
      <c r="AZ91" s="175"/>
      <c r="BA91" s="175"/>
      <c r="BB91" s="175"/>
      <c r="BC91" s="176"/>
    </row>
    <row r="92" spans="2:56" ht="14.4" x14ac:dyDescent="0.3">
      <c r="B92" s="120" t="s">
        <v>67</v>
      </c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77" t="s">
        <v>117</v>
      </c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102" t="s">
        <v>68</v>
      </c>
      <c r="AC92" s="102"/>
      <c r="AD92" s="102"/>
      <c r="AE92" s="102"/>
      <c r="AF92" s="177" t="s">
        <v>118</v>
      </c>
      <c r="AG92" s="77"/>
      <c r="AH92" s="77"/>
      <c r="AI92" s="77"/>
      <c r="AJ92" s="77"/>
      <c r="AK92" s="77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 t="s">
        <v>69</v>
      </c>
      <c r="BB92" s="77">
        <v>11</v>
      </c>
      <c r="BC92" s="78"/>
    </row>
    <row r="93" spans="2:56" x14ac:dyDescent="0.25">
      <c r="B93" s="120" t="s">
        <v>35</v>
      </c>
      <c r="C93" s="101"/>
      <c r="D93" s="101"/>
      <c r="E93" s="101"/>
      <c r="F93" s="101"/>
      <c r="G93" s="101"/>
      <c r="H93" s="77" t="s">
        <v>83</v>
      </c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101" t="s">
        <v>28</v>
      </c>
      <c r="Z93" s="101"/>
      <c r="AA93" s="101"/>
      <c r="AB93" s="101"/>
      <c r="AC93" s="77">
        <v>301860</v>
      </c>
      <c r="AD93" s="77"/>
      <c r="AE93" s="77"/>
      <c r="AF93" s="77"/>
      <c r="AG93" s="77"/>
      <c r="AH93" s="77"/>
      <c r="AI93" s="77"/>
      <c r="AJ93" s="101" t="s">
        <v>70</v>
      </c>
      <c r="AK93" s="101"/>
      <c r="AL93" s="101"/>
      <c r="AM93" s="101"/>
      <c r="AN93" s="101"/>
      <c r="AO93" s="101"/>
      <c r="AP93" s="101"/>
      <c r="AQ93" s="101"/>
      <c r="AR93" s="101"/>
      <c r="AS93" s="77" t="s">
        <v>102</v>
      </c>
      <c r="AT93" s="77"/>
      <c r="AU93" s="77"/>
      <c r="AV93" s="77"/>
      <c r="AW93" s="77"/>
      <c r="AX93" s="77"/>
      <c r="AY93" s="77"/>
      <c r="AZ93" s="77"/>
      <c r="BA93" s="77"/>
      <c r="BB93" s="77"/>
      <c r="BC93" s="78"/>
    </row>
    <row r="94" spans="2:56" x14ac:dyDescent="0.25">
      <c r="B94" s="169" t="s">
        <v>103</v>
      </c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  <c r="N94" s="79"/>
      <c r="O94" s="79"/>
      <c r="P94" s="73"/>
      <c r="Q94" s="73"/>
      <c r="R94" s="73"/>
      <c r="S94" s="170" t="s">
        <v>94</v>
      </c>
      <c r="T94" s="170"/>
      <c r="U94" s="170"/>
      <c r="V94" s="170"/>
      <c r="W94" s="170"/>
      <c r="X94" s="170"/>
      <c r="Y94" s="170"/>
      <c r="Z94" s="170"/>
      <c r="AA94" s="170"/>
      <c r="AB94" s="170"/>
      <c r="AC94" s="170"/>
      <c r="AD94" s="170"/>
      <c r="AE94" s="170"/>
      <c r="AF94" s="170"/>
      <c r="AG94" s="170"/>
      <c r="AH94" s="170"/>
      <c r="AI94" s="170"/>
      <c r="AJ94" s="170"/>
      <c r="AK94" s="170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172"/>
    </row>
    <row r="95" spans="2:56" x14ac:dyDescent="0.25">
      <c r="B95" s="16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  <c r="N95" s="79"/>
      <c r="O95" s="79"/>
      <c r="P95" s="74"/>
      <c r="Q95" s="74"/>
      <c r="R95" s="74"/>
      <c r="S95" s="170"/>
      <c r="T95" s="170"/>
      <c r="U95" s="170"/>
      <c r="V95" s="170"/>
      <c r="W95" s="170"/>
      <c r="X95" s="170"/>
      <c r="Y95" s="170"/>
      <c r="Z95" s="170"/>
      <c r="AA95" s="170"/>
      <c r="AB95" s="170"/>
      <c r="AC95" s="170"/>
      <c r="AD95" s="170"/>
      <c r="AE95" s="170"/>
      <c r="AF95" s="170"/>
      <c r="AG95" s="170"/>
      <c r="AH95" s="170"/>
      <c r="AI95" s="170"/>
      <c r="AJ95" s="170"/>
      <c r="AK95" s="170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172"/>
    </row>
    <row r="96" spans="2:56" x14ac:dyDescent="0.25">
      <c r="B96" s="76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4"/>
      <c r="Q96" s="74"/>
      <c r="R96" s="74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  <c r="AI96" s="171"/>
      <c r="AJ96" s="171"/>
      <c r="AK96" s="171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172"/>
    </row>
    <row r="97" spans="2:55" x14ac:dyDescent="0.25">
      <c r="B97" s="173" t="s">
        <v>14</v>
      </c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4"/>
      <c r="Q97" s="74"/>
      <c r="R97" s="74"/>
      <c r="S97" s="73" t="s">
        <v>71</v>
      </c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4"/>
      <c r="AM97" s="74"/>
      <c r="AN97" s="74"/>
      <c r="AO97" s="74"/>
      <c r="AP97" s="74"/>
      <c r="AQ97" s="74" t="s">
        <v>72</v>
      </c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172"/>
    </row>
    <row r="98" spans="2:55" x14ac:dyDescent="0.25">
      <c r="B98" s="35" t="s">
        <v>93</v>
      </c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40" t="s">
        <v>24</v>
      </c>
    </row>
  </sheetData>
  <mergeCells count="474">
    <mergeCell ref="B88:K88"/>
    <mergeCell ref="L88:T88"/>
    <mergeCell ref="U88:AG88"/>
    <mergeCell ref="AH88:AO88"/>
    <mergeCell ref="AP88:BC88"/>
    <mergeCell ref="B85:K86"/>
    <mergeCell ref="L85:T86"/>
    <mergeCell ref="U85:AG86"/>
    <mergeCell ref="AH85:AO86"/>
    <mergeCell ref="AP85:BC86"/>
    <mergeCell ref="B87:K87"/>
    <mergeCell ref="L87:T87"/>
    <mergeCell ref="U87:AG87"/>
    <mergeCell ref="AH87:AO87"/>
    <mergeCell ref="AP87:BC87"/>
    <mergeCell ref="B81:T81"/>
    <mergeCell ref="U81:AI81"/>
    <mergeCell ref="AJ81:AO81"/>
    <mergeCell ref="AP81:BC81"/>
    <mergeCell ref="B83:K83"/>
    <mergeCell ref="L83:W83"/>
    <mergeCell ref="X83:AF83"/>
    <mergeCell ref="AG83:AK83"/>
    <mergeCell ref="AL83:AT83"/>
    <mergeCell ref="B79:T79"/>
    <mergeCell ref="U79:X79"/>
    <mergeCell ref="Y79:AB79"/>
    <mergeCell ref="AC79:AF79"/>
    <mergeCell ref="AG79:AI79"/>
    <mergeCell ref="AJ79:AO79"/>
    <mergeCell ref="AP79:BC79"/>
    <mergeCell ref="B80:T80"/>
    <mergeCell ref="U80:X80"/>
    <mergeCell ref="Y80:AB80"/>
    <mergeCell ref="AC80:AF80"/>
    <mergeCell ref="AG80:AI80"/>
    <mergeCell ref="AJ80:AO80"/>
    <mergeCell ref="AP80:BC80"/>
    <mergeCell ref="B77:T77"/>
    <mergeCell ref="U77:X77"/>
    <mergeCell ref="Y77:AB77"/>
    <mergeCell ref="AC77:AF77"/>
    <mergeCell ref="AG77:AI77"/>
    <mergeCell ref="AJ77:AO77"/>
    <mergeCell ref="AP77:BC77"/>
    <mergeCell ref="B78:T78"/>
    <mergeCell ref="U78:X78"/>
    <mergeCell ref="Y78:AB78"/>
    <mergeCell ref="AC78:AF78"/>
    <mergeCell ref="AG78:AI78"/>
    <mergeCell ref="AJ78:AO78"/>
    <mergeCell ref="AP78:BC78"/>
    <mergeCell ref="B75:T75"/>
    <mergeCell ref="U75:X75"/>
    <mergeCell ref="Y75:AB75"/>
    <mergeCell ref="AC75:AF75"/>
    <mergeCell ref="AG75:AI75"/>
    <mergeCell ref="AJ75:AO75"/>
    <mergeCell ref="AP75:BC75"/>
    <mergeCell ref="B76:T76"/>
    <mergeCell ref="U76:X76"/>
    <mergeCell ref="Y76:AB76"/>
    <mergeCell ref="AC76:AF76"/>
    <mergeCell ref="AG76:AI76"/>
    <mergeCell ref="AJ76:AO76"/>
    <mergeCell ref="AP76:BC76"/>
    <mergeCell ref="B73:T73"/>
    <mergeCell ref="U73:X73"/>
    <mergeCell ref="Y73:AB73"/>
    <mergeCell ref="AC73:AF73"/>
    <mergeCell ref="AG73:AI73"/>
    <mergeCell ref="AJ73:AO73"/>
    <mergeCell ref="AP73:BC73"/>
    <mergeCell ref="B74:T74"/>
    <mergeCell ref="U74:X74"/>
    <mergeCell ref="Y74:AB74"/>
    <mergeCell ref="AC74:AF74"/>
    <mergeCell ref="AG74:AI74"/>
    <mergeCell ref="AJ74:AO74"/>
    <mergeCell ref="AP74:BC74"/>
    <mergeCell ref="B71:T71"/>
    <mergeCell ref="U71:X71"/>
    <mergeCell ref="Y71:AB71"/>
    <mergeCell ref="AC71:AF71"/>
    <mergeCell ref="AG71:AI71"/>
    <mergeCell ref="AJ71:AO71"/>
    <mergeCell ref="AP71:BC71"/>
    <mergeCell ref="B72:T72"/>
    <mergeCell ref="U72:X72"/>
    <mergeCell ref="Y72:AB72"/>
    <mergeCell ref="AC72:AF72"/>
    <mergeCell ref="AG72:AI72"/>
    <mergeCell ref="AJ72:AO72"/>
    <mergeCell ref="AP72:BC72"/>
    <mergeCell ref="B69:T69"/>
    <mergeCell ref="U69:X69"/>
    <mergeCell ref="Y69:AB69"/>
    <mergeCell ref="AC69:AF69"/>
    <mergeCell ref="AG69:AI69"/>
    <mergeCell ref="AJ69:AO69"/>
    <mergeCell ref="AP69:BC69"/>
    <mergeCell ref="B70:T70"/>
    <mergeCell ref="U70:X70"/>
    <mergeCell ref="Y70:AB70"/>
    <mergeCell ref="AC70:AF70"/>
    <mergeCell ref="AG70:AI70"/>
    <mergeCell ref="AJ70:AO70"/>
    <mergeCell ref="AP70:BC70"/>
    <mergeCell ref="B67:T67"/>
    <mergeCell ref="U67:X67"/>
    <mergeCell ref="Y67:AB67"/>
    <mergeCell ref="AC67:AF67"/>
    <mergeCell ref="AG67:AI67"/>
    <mergeCell ref="AJ67:AO67"/>
    <mergeCell ref="AP67:BC67"/>
    <mergeCell ref="B68:T68"/>
    <mergeCell ref="U68:X68"/>
    <mergeCell ref="Y68:AB68"/>
    <mergeCell ref="AC68:AF68"/>
    <mergeCell ref="AG68:AI68"/>
    <mergeCell ref="AJ68:AO68"/>
    <mergeCell ref="AP68:BC68"/>
    <mergeCell ref="B64:BC64"/>
    <mergeCell ref="B65:T66"/>
    <mergeCell ref="U65:AI65"/>
    <mergeCell ref="AJ65:AO66"/>
    <mergeCell ref="AP65:BC66"/>
    <mergeCell ref="U66:X66"/>
    <mergeCell ref="Y66:AB66"/>
    <mergeCell ref="AC66:AF66"/>
    <mergeCell ref="AG66:AI66"/>
    <mergeCell ref="AP62:AX62"/>
    <mergeCell ref="AY62:BA62"/>
    <mergeCell ref="BB62:BC62"/>
    <mergeCell ref="B63:H63"/>
    <mergeCell ref="I63:J63"/>
    <mergeCell ref="K63:M63"/>
    <mergeCell ref="N63:Q63"/>
    <mergeCell ref="R63:U63"/>
    <mergeCell ref="V63:Z63"/>
    <mergeCell ref="AA63:AH63"/>
    <mergeCell ref="AI63:AR63"/>
    <mergeCell ref="AS63:AV63"/>
    <mergeCell ref="AW63:BC63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23:BC23"/>
    <mergeCell ref="B23:T23"/>
    <mergeCell ref="U23:X23"/>
    <mergeCell ref="Y23:AB23"/>
    <mergeCell ref="AC23:AF23"/>
    <mergeCell ref="AG23:AI23"/>
    <mergeCell ref="AJ23:AO23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B28:K29"/>
    <mergeCell ref="L28:T29"/>
    <mergeCell ref="U28:AG29"/>
    <mergeCell ref="AH28:AO29"/>
    <mergeCell ref="AP28:BC29"/>
    <mergeCell ref="B26:K26"/>
    <mergeCell ref="L26:W26"/>
    <mergeCell ref="X26:AF26"/>
    <mergeCell ref="AG26:AK26"/>
    <mergeCell ref="AL26:AT26"/>
    <mergeCell ref="B30:K30"/>
    <mergeCell ref="L30:T30"/>
    <mergeCell ref="U30:AG30"/>
    <mergeCell ref="AH30:AO30"/>
    <mergeCell ref="AP30:BC30"/>
    <mergeCell ref="B31:K31"/>
    <mergeCell ref="L31:T31"/>
    <mergeCell ref="U31:AG31"/>
    <mergeCell ref="AH31:AO31"/>
    <mergeCell ref="AP31:BC31"/>
    <mergeCell ref="AS34:AV34"/>
    <mergeCell ref="AJ38:AO38"/>
    <mergeCell ref="AP38:BC38"/>
    <mergeCell ref="AW34:BC34"/>
    <mergeCell ref="B35:BC35"/>
    <mergeCell ref="B36:T37"/>
    <mergeCell ref="U36:AI36"/>
    <mergeCell ref="AJ36:AO37"/>
    <mergeCell ref="AP36:BC37"/>
    <mergeCell ref="U37:X37"/>
    <mergeCell ref="Y37:AB37"/>
    <mergeCell ref="AC37:AF37"/>
    <mergeCell ref="AG37:AI37"/>
    <mergeCell ref="B34:H34"/>
    <mergeCell ref="I34:J34"/>
    <mergeCell ref="K34:M34"/>
    <mergeCell ref="N34:Q34"/>
    <mergeCell ref="R34:U34"/>
    <mergeCell ref="V34:Z34"/>
    <mergeCell ref="AA34:AH34"/>
    <mergeCell ref="AI34:AR34"/>
    <mergeCell ref="B38:T38"/>
    <mergeCell ref="U38:X38"/>
    <mergeCell ref="Y38:AB38"/>
    <mergeCell ref="B32:AF32"/>
    <mergeCell ref="AG32:AQ32"/>
    <mergeCell ref="AR32:BC32"/>
    <mergeCell ref="B33:D33"/>
    <mergeCell ref="E33:P33"/>
    <mergeCell ref="Q33:T33"/>
    <mergeCell ref="U33:Z33"/>
    <mergeCell ref="AA33:AC33"/>
    <mergeCell ref="AD33:AL33"/>
    <mergeCell ref="AM33:AO33"/>
    <mergeCell ref="AP33:AX33"/>
    <mergeCell ref="AY33:BA33"/>
    <mergeCell ref="BB33:BC33"/>
    <mergeCell ref="AC38:AF38"/>
    <mergeCell ref="B39:T39"/>
    <mergeCell ref="U39:X39"/>
    <mergeCell ref="Y39:AB39"/>
    <mergeCell ref="AC39:AF39"/>
    <mergeCell ref="AG39:AI39"/>
    <mergeCell ref="AG38:AI38"/>
    <mergeCell ref="AJ39:AO39"/>
    <mergeCell ref="AP39:BC39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U48:X48"/>
    <mergeCell ref="Y48:AB48"/>
    <mergeCell ref="AC48:AF48"/>
    <mergeCell ref="AG48:AI48"/>
    <mergeCell ref="AJ48:AO48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B55:K55"/>
    <mergeCell ref="L55:W55"/>
    <mergeCell ref="X55:AF55"/>
    <mergeCell ref="AG55:AK55"/>
    <mergeCell ref="AL55:AT55"/>
    <mergeCell ref="AP53:BC53"/>
    <mergeCell ref="B53:T53"/>
    <mergeCell ref="U53:X53"/>
    <mergeCell ref="Y53:AB53"/>
    <mergeCell ref="AC53:AF53"/>
    <mergeCell ref="AG53:AI53"/>
    <mergeCell ref="AJ53:AO53"/>
    <mergeCell ref="U60:AG60"/>
    <mergeCell ref="AH60:AO60"/>
    <mergeCell ref="AP60:BC60"/>
    <mergeCell ref="B90:BC90"/>
    <mergeCell ref="B57:K58"/>
    <mergeCell ref="L57:T58"/>
    <mergeCell ref="U57:AG58"/>
    <mergeCell ref="AH57:AO58"/>
    <mergeCell ref="AP57:BC58"/>
    <mergeCell ref="B59:K59"/>
    <mergeCell ref="L59:T59"/>
    <mergeCell ref="U59:AG59"/>
    <mergeCell ref="AH59:AO59"/>
    <mergeCell ref="AP59:BC59"/>
    <mergeCell ref="B61:AF61"/>
    <mergeCell ref="AG61:AQ61"/>
    <mergeCell ref="AR61:BC61"/>
    <mergeCell ref="B62:D62"/>
    <mergeCell ref="E62:P62"/>
    <mergeCell ref="Q62:T62"/>
    <mergeCell ref="U62:Z62"/>
    <mergeCell ref="AA62:AC62"/>
    <mergeCell ref="AD62:AL62"/>
    <mergeCell ref="AM62:AO62"/>
    <mergeCell ref="BA1:BC1"/>
    <mergeCell ref="K4:M4"/>
    <mergeCell ref="B94:O96"/>
    <mergeCell ref="P94:R97"/>
    <mergeCell ref="S94:AK96"/>
    <mergeCell ref="AL94:BC96"/>
    <mergeCell ref="B97:O97"/>
    <mergeCell ref="S97:AK97"/>
    <mergeCell ref="AL97:AP97"/>
    <mergeCell ref="AQ97:BC97"/>
    <mergeCell ref="B93:G93"/>
    <mergeCell ref="H93:X93"/>
    <mergeCell ref="Y93:AB93"/>
    <mergeCell ref="AC93:AI93"/>
    <mergeCell ref="AJ93:AR93"/>
    <mergeCell ref="AS93:BC93"/>
    <mergeCell ref="B91:BC91"/>
    <mergeCell ref="B92:N92"/>
    <mergeCell ref="O92:AA92"/>
    <mergeCell ref="AB92:AE92"/>
    <mergeCell ref="AF92:AK92"/>
    <mergeCell ref="BB92:BC92"/>
    <mergeCell ref="B60:K60"/>
    <mergeCell ref="L60:T60"/>
    <mergeCell ref="B21:T21"/>
    <mergeCell ref="U21:AI21"/>
    <mergeCell ref="AJ21:AO21"/>
    <mergeCell ref="AP21:BC21"/>
    <mergeCell ref="B50:T50"/>
    <mergeCell ref="U50:AI50"/>
    <mergeCell ref="AJ50:AO50"/>
    <mergeCell ref="AP50:BC50"/>
    <mergeCell ref="B52:T52"/>
    <mergeCell ref="U52:X52"/>
    <mergeCell ref="Y52:AB52"/>
    <mergeCell ref="AC52:AF52"/>
    <mergeCell ref="AG52:AI52"/>
    <mergeCell ref="AJ52:AO52"/>
    <mergeCell ref="AP52:BC52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</mergeCells>
  <printOptions horizontalCentered="1" verticalCentered="1"/>
  <pageMargins left="0.23622047244094499" right="0.23622047244094499" top="0.35433070866141703" bottom="0.35433070866141703" header="0.31496062992126" footer="0.31496062992126"/>
  <pageSetup paperSize="14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2025-10-31T05:48:10Z</cp:lastPrinted>
  <dcterms:created xsi:type="dcterms:W3CDTF">2017-05-29T04:13:43Z</dcterms:created>
  <dcterms:modified xsi:type="dcterms:W3CDTF">2025-10-31T06:03:00Z</dcterms:modified>
  <cp:category>School Form 10 - Junior High School Permanent Record redesigned by Wedzmer B. Munjilul of the School Forms Review 2017</cp:category>
</cp:coreProperties>
</file>