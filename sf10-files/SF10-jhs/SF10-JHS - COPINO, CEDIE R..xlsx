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0F44FEA2-8427-40E3-87C3-4F482A291929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2" i="4" l="1"/>
  <c r="AJ9" i="4"/>
  <c r="AJ10" i="4"/>
  <c r="AJ11" i="4"/>
  <c r="AJ12" i="4"/>
  <c r="AJ13" i="4"/>
  <c r="AJ14" i="4"/>
  <c r="AJ15" i="4"/>
  <c r="AJ16" i="4"/>
  <c r="AJ17" i="4"/>
  <c r="AJ18" i="4"/>
  <c r="AJ19" i="4"/>
  <c r="AJ8" i="4"/>
  <c r="AJ26" i="3"/>
  <c r="AJ33" i="3"/>
  <c r="AJ61" i="3" l="1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<sst xmlns="http://schemas.openxmlformats.org/spreadsheetml/2006/main" count="323" uniqueCount="116">
  <si>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</si>
  <si>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</si>
  <si>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</si>
  <si>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</si>
  <si>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</si>
  <si>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</si>
  <si>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</si>
  <si>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</si>
  <si>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</si>
  <si>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</si>
  <si>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</si>
  <si>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</si>
  <si>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</si>
  <si>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</si>
  <si>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</si>
  <si>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</si>
  <si>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</si>
  <si>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</si>
  <si>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</si>
  <si>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</si>
  <si>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</si>
  <si>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</si>
  <si>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</si>
  <si>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</si>
  <si>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</si>
  <si>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</si>
  <si>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</si>
  <si>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</si>
  <si>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</si>
  <si>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</si>
  <si>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</si>
  <si>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</si>
  <si>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</si>
  <si>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</si>
  <si>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</si>
  <si>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</si>
  <si>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</si>
  <si>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</si>
  <si>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</si>
  <si>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</si>
  <si>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</si>
  <si>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</si>
  <si>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</si>
  <si>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</si>
  <si>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</si>
  <si>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</si>
  <si>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</si>
  <si>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</si>
  <si>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</si>
  <si>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</si>
  <si>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</si>
  <si>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</si>
  <si>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</si>
  <si>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</si>
  <si>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</si>
  <si>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</si>
  <si>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</si>
  <si>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</si>
  <si>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</si>
  <si>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</si>
  <si>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</si>
  <si>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</si>
  <si>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</si>
  <si>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</si>
  <si>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</si>
  <si>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</si>
  <si>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</si>
  <si>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</si>
  <si>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</si>
  <si>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</si>
  <si>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</si>
  <si>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</si>
  <si>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</si>
  <si>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</si>
  <si>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</si>
  <si>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</si>
  <si>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</si>
  <si>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</si>
  <si>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</si>
  <si>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</si>
  <si>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</si>
  <si>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</si>
  <si>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</si>
  <si>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</si>
  <si>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</si>
  <si>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</si>
  <si>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</si>
  <si>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</si>
  <si>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</si>
  <si>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</si>
  <si>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</si>
  <si>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</si>
  <si>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WITH HONORS</t>
  </si>
  <si>
    <t>Promoted with honors</t>
  </si>
  <si>
    <t>2022-2023</t>
  </si>
  <si>
    <t>2023-2024</t>
  </si>
  <si>
    <t>COPINO</t>
  </si>
  <si>
    <t>CEDIE</t>
  </si>
  <si>
    <t>RICO</t>
  </si>
  <si>
    <t>MALE</t>
  </si>
  <si>
    <t>PANTAO ELEMENTARY SCHOOL</t>
  </si>
  <si>
    <t>PANTAO, LIBON, ALBAY</t>
  </si>
  <si>
    <t>SAMPAGUITA</t>
  </si>
  <si>
    <t>JULIE ANNE B. RACINIES</t>
  </si>
  <si>
    <t>NARRA</t>
  </si>
  <si>
    <t>JOYCE ANN T. JIMENEZ</t>
  </si>
  <si>
    <t>THOMAS</t>
  </si>
  <si>
    <t>2024-2025</t>
  </si>
  <si>
    <t>MHEALYN B. SAPALICIO</t>
  </si>
  <si>
    <t>PASSED</t>
  </si>
  <si>
    <t>PROMOTED</t>
  </si>
  <si>
    <t>CEDIE R. COPINO</t>
  </si>
  <si>
    <t>`407303150063</t>
  </si>
  <si>
    <t>AUGUST 27, 2025.</t>
  </si>
  <si>
    <t>HILDA S. SECILLANO</t>
  </si>
  <si>
    <r>
      <t xml:space="preserve">Copy for </t>
    </r>
    <r>
      <rPr>
        <b/>
        <i/>
        <sz val="10"/>
        <color theme="1"/>
        <rFont val="Arial Narrow"/>
        <family val="2"/>
      </rPr>
      <t>PATEROS NATIONAL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</si>
</sst>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8"/>
      <color theme="1"/>
      <name val="Agency FB"/>
      <family val="2"/>
    </font>
    <font>
      <b/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5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15240</xdr:colOff>
      <xdr:row>20</xdr:row>
      <xdr:rowOff>22860</xdr:rowOff>
    </xdr:from>
    <xdr:to>
      <xdr:col>54</xdr:col>
      <xdr:colOff>31750</xdr:colOff>
      <xdr:row>23</xdr:row>
      <xdr:rowOff>125095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5608" b="88889" l="21806" r="76944">
                      <a14:foregroundMark x1="34028" y1="20370" x2="34028" y2="20370"/>
                      <a14:foregroundMark x1="22917" y1="50794" x2="22917" y2="50794"/>
                      <a14:foregroundMark x1="35694" y1="52381" x2="35694" y2="52381"/>
                      <a14:foregroundMark x1="38889" y1="20370" x2="38889" y2="20370"/>
                      <a14:foregroundMark x1="41250" y1="50794" x2="41250" y2="50794"/>
                      <a14:foregroundMark x1="39583" y1="88624" x2="39583" y2="88624"/>
                      <a14:foregroundMark x1="41944" y1="65873" x2="41944" y2="65873"/>
                      <a14:foregroundMark x1="45972" y1="46296" x2="45972" y2="46296"/>
                      <a14:foregroundMark x1="51528" y1="46296" x2="51528" y2="46296"/>
                      <a14:foregroundMark x1="56389" y1="53968" x2="56389" y2="53968"/>
                      <a14:foregroundMark x1="65139" y1="53968" x2="65139" y2="53968"/>
                      <a14:foregroundMark x1="73056" y1="50794" x2="73056" y2="50794"/>
                      <a14:foregroundMark x1="76250" y1="55291" x2="76250" y2="55291"/>
                      <a14:foregroundMark x1="36667" y1="15873" x2="36667" y2="15873"/>
                      <a14:foregroundMark x1="39028" y1="21958" x2="39028" y2="21958"/>
                      <a14:foregroundMark x1="39583" y1="86243" x2="39583" y2="86243"/>
                      <a14:foregroundMark x1="40556" y1="88889" x2="40556" y2="88889"/>
                      <a14:foregroundMark x1="39028" y1="82011" x2="39028" y2="82011"/>
                      <a14:foregroundMark x1="76528" y1="57937" x2="76528" y2="57937"/>
                      <a14:foregroundMark x1="72639" y1="54497" x2="72639" y2="54497"/>
                    </a14:backgroundRemoval>
                  </a14:imgEffect>
                </a14:imgLayer>
              </a14:imgProps>
            </a:ext>
          </a:extLst>
        </a:blip>
        <a:srcRect l="14930" t="11379" r="15855" b="12769"/>
        <a:stretch/>
      </xdr:blipFill>
      <xdr:spPr bwMode="auto">
        <a:xfrm>
          <a:off x="7818120" y="3429000"/>
          <a:ext cx="1113790" cy="48323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26</xdr:col>
      <xdr:colOff>7620</xdr:colOff>
      <xdr:row>79</xdr:row>
      <xdr:rowOff>137161</xdr:rowOff>
    </xdr:from>
    <xdr:to>
      <xdr:col>33</xdr:col>
      <xdr:colOff>91440</xdr:colOff>
      <xdr:row>82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43018" b="53809" l="29461" r="64828">
                      <a14:foregroundMark x1="34263" y1="43115" x2="34263" y2="43115"/>
                      <a14:foregroundMark x1="32576" y1="45605" x2="32576" y2="45605"/>
                      <a14:foregroundMark x1="32576" y1="47754" x2="32576" y2="47754"/>
                      <a14:foregroundMark x1="29526" y1="47266" x2="29526" y2="47266"/>
                      <a14:foregroundMark x1="31149" y1="52686" x2="31149" y2="52686"/>
                      <a14:foregroundMark x1="32576" y1="52881" x2="32576" y2="52881"/>
                      <a14:foregroundMark x1="38222" y1="46875" x2="38222" y2="46875"/>
                      <a14:foregroundMark x1="44257" y1="50244" x2="44257" y2="50244"/>
                      <a14:foregroundMark x1="47112" y1="48535" x2="47112" y2="48535"/>
                      <a14:foregroundMark x1="50292" y1="47168" x2="50292" y2="47168"/>
                      <a14:foregroundMark x1="55938" y1="46582" x2="55938" y2="46582"/>
                      <a14:foregroundMark x1="62103" y1="45703" x2="62103" y2="45703"/>
                      <a14:foregroundMark x1="64828" y1="45508" x2="64828" y2="45508"/>
                      <a14:foregroundMark x1="33485" y1="50195" x2="33485" y2="50195"/>
                      <a14:foregroundMark x1="32836" y1="47510" x2="32836" y2="47510"/>
                      <a14:foregroundMark x1="36794" y1="47119" x2="36794" y2="47119"/>
                      <a14:foregroundMark x1="38741" y1="48730" x2="38741" y2="48730"/>
                      <a14:foregroundMark x1="43933" y1="50000" x2="43933" y2="50000"/>
                    </a14:backgroundRemoval>
                  </a14:imgEffect>
                  <a14:imgEffect>
                    <a14:colorTemperature colorTemp="5300"/>
                  </a14:imgEffect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9381" t="42633" r="32550" b="44923"/>
        <a:stretch/>
      </xdr:blipFill>
      <xdr:spPr bwMode="auto">
        <a:xfrm>
          <a:off x="3992880" y="13167361"/>
          <a:ext cx="1333500" cy="4648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46</xdr:col>
      <xdr:colOff>129543</xdr:colOff>
      <xdr:row>48</xdr:row>
      <xdr:rowOff>114299</xdr:rowOff>
    </xdr:from>
    <xdr:to>
      <xdr:col>53</xdr:col>
      <xdr:colOff>60963</xdr:colOff>
      <xdr:row>51</xdr:row>
      <xdr:rowOff>182880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6CF977E-D1B5-461E-83F8-7C23257C021A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3125" b="67865" l="18491" r="64400">
                      <a14:foregroundMark x1="64400" y1="47500" x2="64400" y2="47500"/>
                      <a14:foregroundMark x1="58980" y1="34948" x2="58980" y2="34948"/>
                      <a14:foregroundMark x1="52604" y1="33229" x2="52604" y2="33229"/>
                      <a14:foregroundMark x1="47290" y1="49792" x2="47290" y2="49792"/>
                      <a14:foregroundMark x1="42189" y1="48073" x2="42189" y2="48073"/>
                      <a14:foregroundMark x1="47396" y1="51563" x2="47396" y2="51563"/>
                      <a14:foregroundMark x1="47396" y1="54844" x2="47396" y2="54844"/>
                      <a14:foregroundMark x1="52604" y1="58229" x2="52604" y2="58229"/>
                      <a14:foregroundMark x1="56854" y1="67083" x2="56854" y2="67083"/>
                      <a14:foregroundMark x1="58448" y1="67865" x2="58448" y2="67865"/>
                    </a14:backgroundRemoval>
                  </a14:imgEffect>
                  <a14:imgEffect>
                    <a14:colorTemperature colorTemp="53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078" t="32534" r="31404" b="31271"/>
        <a:stretch/>
      </xdr:blipFill>
      <xdr:spPr bwMode="auto">
        <a:xfrm rot="16200000">
          <a:off x="8001002" y="7726680"/>
          <a:ext cx="457201" cy="10972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91441</xdr:colOff>
      <xdr:row>2</xdr:row>
      <xdr:rowOff>99060</xdr:rowOff>
    </xdr:from>
    <xdr:to>
      <xdr:col>53</xdr:col>
      <xdr:colOff>137161</xdr:colOff>
      <xdr:row>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2" b="89864" l="5000" r="92222">
                      <a14:foregroundMark x1="5000" y1="84795" x2="5000" y2="84795"/>
                      <a14:foregroundMark x1="26667" y1="52242" x2="26667" y2="52242"/>
                      <a14:foregroundMark x1="31667" y1="31384" x2="31667" y2="31384"/>
                      <a14:foregroundMark x1="41574" y1="33528" x2="41574" y2="33528"/>
                      <a14:foregroundMark x1="40278" y1="62378" x2="40278" y2="62378"/>
                      <a14:foregroundMark x1="51574" y1="41131" x2="51574" y2="41131"/>
                      <a14:foregroundMark x1="56296" y1="20273" x2="56296" y2="20273"/>
                      <a14:foregroundMark x1="53241" y1="54776" x2="53241" y2="54776"/>
                      <a14:foregroundMark x1="60556" y1="42105" x2="60556" y2="42105"/>
                      <a14:foregroundMark x1="74907" y1="17739" x2="74907" y2="17739"/>
                      <a14:foregroundMark x1="69537" y1="28850" x2="69537" y2="28850"/>
                      <a14:foregroundMark x1="92222" y1="41715" x2="92222" y2="4171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98081" y="320040"/>
          <a:ext cx="1394460" cy="403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112"/>
  <sheetViews>
    <sheetView showGridLines="0" topLeftCell="A58" zoomScaleNormal="100" zoomScaleSheetLayoutView="110" workbookViewId="0">
      <selection activeCell="AP55" sqref="AP55:BC55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96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97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98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1">
        <v>407303150063</v>
      </c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88" t="s">
        <v>34</v>
      </c>
      <c r="AA8" s="88"/>
      <c r="AB8" s="88"/>
      <c r="AC8" s="88"/>
      <c r="AD8" s="88"/>
      <c r="AE8" s="88"/>
      <c r="AF8" s="88"/>
      <c r="AG8" s="88"/>
      <c r="AH8" s="120">
        <v>39738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99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83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 t="s">
        <v>92</v>
      </c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100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101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x14ac:dyDescent="0.25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19" t="s">
        <v>102</v>
      </c>
      <c r="O22" s="119"/>
      <c r="P22" s="119"/>
      <c r="Q22" s="119"/>
      <c r="R22" s="97" t="s">
        <v>45</v>
      </c>
      <c r="S22" s="97"/>
      <c r="T22" s="97"/>
      <c r="U22" s="97"/>
      <c r="V22" s="50" t="s">
        <v>94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103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85</v>
      </c>
      <c r="V26" s="104"/>
      <c r="W26" s="104"/>
      <c r="X26" s="104"/>
      <c r="Y26" s="104">
        <v>86</v>
      </c>
      <c r="Z26" s="104"/>
      <c r="AA26" s="104"/>
      <c r="AB26" s="104"/>
      <c r="AC26" s="104">
        <v>88</v>
      </c>
      <c r="AD26" s="104"/>
      <c r="AE26" s="104"/>
      <c r="AF26" s="104"/>
      <c r="AG26" s="104">
        <v>89</v>
      </c>
      <c r="AH26" s="104"/>
      <c r="AI26" s="104"/>
      <c r="AJ26" s="104">
        <f>AVERAGE(AG26,AC26,Y26,U26)</f>
        <v>87</v>
      </c>
      <c r="AK26" s="104"/>
      <c r="AL26" s="104"/>
      <c r="AM26" s="104"/>
      <c r="AN26" s="104"/>
      <c r="AO26" s="104"/>
      <c r="AP26" s="100" t="s">
        <v>87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86</v>
      </c>
      <c r="V27" s="104"/>
      <c r="W27" s="104"/>
      <c r="X27" s="104"/>
      <c r="Y27" s="104">
        <v>85</v>
      </c>
      <c r="Z27" s="104"/>
      <c r="AA27" s="104"/>
      <c r="AB27" s="104"/>
      <c r="AC27" s="104">
        <v>87</v>
      </c>
      <c r="AD27" s="104"/>
      <c r="AE27" s="104"/>
      <c r="AF27" s="104"/>
      <c r="AG27" s="104">
        <v>89</v>
      </c>
      <c r="AH27" s="104"/>
      <c r="AI27" s="104"/>
      <c r="AJ27" s="104">
        <f t="shared" ref="AJ27:AJ37" si="0">AVERAGE(U27,Y27,AC27,AG27)</f>
        <v>86.75</v>
      </c>
      <c r="AK27" s="104"/>
      <c r="AL27" s="104"/>
      <c r="AM27" s="104"/>
      <c r="AN27" s="104"/>
      <c r="AO27" s="104"/>
      <c r="AP27" s="100" t="s">
        <v>87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83</v>
      </c>
      <c r="V28" s="104"/>
      <c r="W28" s="104"/>
      <c r="X28" s="104"/>
      <c r="Y28" s="104">
        <v>84</v>
      </c>
      <c r="Z28" s="104"/>
      <c r="AA28" s="104"/>
      <c r="AB28" s="104"/>
      <c r="AC28" s="104">
        <v>85</v>
      </c>
      <c r="AD28" s="104"/>
      <c r="AE28" s="104"/>
      <c r="AF28" s="104"/>
      <c r="AG28" s="104">
        <v>83</v>
      </c>
      <c r="AH28" s="104"/>
      <c r="AI28" s="104"/>
      <c r="AJ28" s="104">
        <f t="shared" si="0"/>
        <v>83.75</v>
      </c>
      <c r="AK28" s="104"/>
      <c r="AL28" s="104"/>
      <c r="AM28" s="104"/>
      <c r="AN28" s="104"/>
      <c r="AO28" s="104"/>
      <c r="AP28" s="100" t="s">
        <v>87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86</v>
      </c>
      <c r="V29" s="104"/>
      <c r="W29" s="104"/>
      <c r="X29" s="104"/>
      <c r="Y29" s="104">
        <v>89</v>
      </c>
      <c r="Z29" s="104"/>
      <c r="AA29" s="104"/>
      <c r="AB29" s="104"/>
      <c r="AC29" s="104">
        <v>87</v>
      </c>
      <c r="AD29" s="104"/>
      <c r="AE29" s="104"/>
      <c r="AF29" s="104"/>
      <c r="AG29" s="104">
        <v>84</v>
      </c>
      <c r="AH29" s="104"/>
      <c r="AI29" s="104"/>
      <c r="AJ29" s="104">
        <f t="shared" si="0"/>
        <v>86.5</v>
      </c>
      <c r="AK29" s="104"/>
      <c r="AL29" s="104"/>
      <c r="AM29" s="104"/>
      <c r="AN29" s="104"/>
      <c r="AO29" s="104"/>
      <c r="AP29" s="100" t="s">
        <v>87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84</v>
      </c>
      <c r="V30" s="104"/>
      <c r="W30" s="104"/>
      <c r="X30" s="104"/>
      <c r="Y30" s="104">
        <v>84</v>
      </c>
      <c r="Z30" s="104"/>
      <c r="AA30" s="104"/>
      <c r="AB30" s="104"/>
      <c r="AC30" s="104">
        <v>84</v>
      </c>
      <c r="AD30" s="104"/>
      <c r="AE30" s="104"/>
      <c r="AF30" s="104"/>
      <c r="AG30" s="104">
        <v>83</v>
      </c>
      <c r="AH30" s="104"/>
      <c r="AI30" s="104"/>
      <c r="AJ30" s="104">
        <f t="shared" si="0"/>
        <v>83.75</v>
      </c>
      <c r="AK30" s="104"/>
      <c r="AL30" s="104"/>
      <c r="AM30" s="104"/>
      <c r="AN30" s="104"/>
      <c r="AO30" s="104"/>
      <c r="AP30" s="100" t="s">
        <v>87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83</v>
      </c>
      <c r="V31" s="104"/>
      <c r="W31" s="104"/>
      <c r="X31" s="104"/>
      <c r="Y31" s="104">
        <v>80</v>
      </c>
      <c r="Z31" s="104"/>
      <c r="AA31" s="104"/>
      <c r="AB31" s="104"/>
      <c r="AC31" s="104">
        <v>82</v>
      </c>
      <c r="AD31" s="104"/>
      <c r="AE31" s="104"/>
      <c r="AF31" s="104"/>
      <c r="AG31" s="104">
        <v>80</v>
      </c>
      <c r="AH31" s="104"/>
      <c r="AI31" s="104"/>
      <c r="AJ31" s="104">
        <f t="shared" si="0"/>
        <v>81.25</v>
      </c>
      <c r="AK31" s="104"/>
      <c r="AL31" s="104"/>
      <c r="AM31" s="104"/>
      <c r="AN31" s="104"/>
      <c r="AO31" s="104"/>
      <c r="AP31" s="100" t="s">
        <v>87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84</v>
      </c>
      <c r="V32" s="104"/>
      <c r="W32" s="104"/>
      <c r="X32" s="104"/>
      <c r="Y32" s="104">
        <v>85</v>
      </c>
      <c r="Z32" s="104"/>
      <c r="AA32" s="104"/>
      <c r="AB32" s="104"/>
      <c r="AC32" s="104">
        <v>86</v>
      </c>
      <c r="AD32" s="104"/>
      <c r="AE32" s="104"/>
      <c r="AF32" s="104"/>
      <c r="AG32" s="104">
        <v>86</v>
      </c>
      <c r="AH32" s="104"/>
      <c r="AI32" s="104"/>
      <c r="AJ32" s="104">
        <f t="shared" si="0"/>
        <v>85.25</v>
      </c>
      <c r="AK32" s="104"/>
      <c r="AL32" s="104"/>
      <c r="AM32" s="104"/>
      <c r="AN32" s="104"/>
      <c r="AO32" s="104"/>
      <c r="AP32" s="100" t="s">
        <v>87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82</v>
      </c>
      <c r="V33" s="104"/>
      <c r="W33" s="104"/>
      <c r="X33" s="104"/>
      <c r="Y33" s="104">
        <v>84</v>
      </c>
      <c r="Z33" s="104"/>
      <c r="AA33" s="104"/>
      <c r="AB33" s="104"/>
      <c r="AC33" s="104">
        <v>85</v>
      </c>
      <c r="AD33" s="104"/>
      <c r="AE33" s="104"/>
      <c r="AF33" s="104"/>
      <c r="AG33" s="104">
        <v>86</v>
      </c>
      <c r="AH33" s="104"/>
      <c r="AI33" s="104"/>
      <c r="AJ33" s="104">
        <f>AVERAGE(U33,Y33,AC33,AG33)</f>
        <v>84.25</v>
      </c>
      <c r="AK33" s="104"/>
      <c r="AL33" s="104"/>
      <c r="AM33" s="104"/>
      <c r="AN33" s="104"/>
      <c r="AO33" s="104"/>
      <c r="AP33" s="100" t="s">
        <v>87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82</v>
      </c>
      <c r="V34" s="104"/>
      <c r="W34" s="104"/>
      <c r="X34" s="104"/>
      <c r="Y34" s="104">
        <v>83</v>
      </c>
      <c r="Z34" s="104"/>
      <c r="AA34" s="104"/>
      <c r="AB34" s="104"/>
      <c r="AC34" s="104">
        <v>84</v>
      </c>
      <c r="AD34" s="104"/>
      <c r="AE34" s="104"/>
      <c r="AF34" s="104"/>
      <c r="AG34" s="104">
        <v>86</v>
      </c>
      <c r="AH34" s="104"/>
      <c r="AI34" s="104"/>
      <c r="AJ34" s="104">
        <f t="shared" si="0"/>
        <v>83.75</v>
      </c>
      <c r="AK34" s="104"/>
      <c r="AL34" s="104"/>
      <c r="AM34" s="104"/>
      <c r="AN34" s="104"/>
      <c r="AO34" s="104"/>
      <c r="AP34" s="100" t="s">
        <v>87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83</v>
      </c>
      <c r="V35" s="104"/>
      <c r="W35" s="104"/>
      <c r="X35" s="104"/>
      <c r="Y35" s="104">
        <v>84</v>
      </c>
      <c r="Z35" s="104"/>
      <c r="AA35" s="104"/>
      <c r="AB35" s="104"/>
      <c r="AC35" s="104">
        <v>84</v>
      </c>
      <c r="AD35" s="104"/>
      <c r="AE35" s="104"/>
      <c r="AF35" s="104"/>
      <c r="AG35" s="104">
        <v>85</v>
      </c>
      <c r="AH35" s="104"/>
      <c r="AI35" s="104"/>
      <c r="AJ35" s="104">
        <f t="shared" si="0"/>
        <v>84</v>
      </c>
      <c r="AK35" s="104"/>
      <c r="AL35" s="104"/>
      <c r="AM35" s="104"/>
      <c r="AN35" s="104"/>
      <c r="AO35" s="104"/>
      <c r="AP35" s="100" t="s">
        <v>87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81</v>
      </c>
      <c r="V36" s="104"/>
      <c r="W36" s="104"/>
      <c r="X36" s="104"/>
      <c r="Y36" s="104">
        <v>84</v>
      </c>
      <c r="Z36" s="104"/>
      <c r="AA36" s="104"/>
      <c r="AB36" s="104"/>
      <c r="AC36" s="104">
        <v>85</v>
      </c>
      <c r="AD36" s="104"/>
      <c r="AE36" s="104"/>
      <c r="AF36" s="104"/>
      <c r="AG36" s="104">
        <v>86</v>
      </c>
      <c r="AH36" s="104"/>
      <c r="AI36" s="104"/>
      <c r="AJ36" s="104">
        <f t="shared" si="0"/>
        <v>84</v>
      </c>
      <c r="AK36" s="104"/>
      <c r="AL36" s="104"/>
      <c r="AM36" s="104"/>
      <c r="AN36" s="104"/>
      <c r="AO36" s="104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83</v>
      </c>
      <c r="V37" s="104"/>
      <c r="W37" s="104"/>
      <c r="X37" s="104"/>
      <c r="Y37" s="104">
        <v>85</v>
      </c>
      <c r="Z37" s="104"/>
      <c r="AA37" s="104"/>
      <c r="AB37" s="104"/>
      <c r="AC37" s="104">
        <v>86</v>
      </c>
      <c r="AD37" s="104"/>
      <c r="AE37" s="104"/>
      <c r="AF37" s="104"/>
      <c r="AG37" s="104">
        <v>87</v>
      </c>
      <c r="AH37" s="104"/>
      <c r="AI37" s="104"/>
      <c r="AJ37" s="104">
        <f t="shared" si="0"/>
        <v>85.25</v>
      </c>
      <c r="AK37" s="104"/>
      <c r="AL37" s="104"/>
      <c r="AM37" s="104"/>
      <c r="AN37" s="104"/>
      <c r="AO37" s="104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89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84.8125</v>
      </c>
      <c r="AK40" s="62"/>
      <c r="AL40" s="62"/>
      <c r="AM40" s="62"/>
      <c r="AN40" s="62"/>
      <c r="AO40" s="62"/>
      <c r="AP40" s="57" t="s">
        <v>93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 t="s">
        <v>104</v>
      </c>
      <c r="O50" s="107"/>
      <c r="P50" s="107"/>
      <c r="Q50" s="107"/>
      <c r="R50" s="97" t="s">
        <v>45</v>
      </c>
      <c r="S50" s="97"/>
      <c r="T50" s="97"/>
      <c r="U50" s="97"/>
      <c r="V50" s="50" t="s">
        <v>95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105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84</v>
      </c>
      <c r="V54" s="100"/>
      <c r="W54" s="100"/>
      <c r="X54" s="100"/>
      <c r="Y54" s="100">
        <v>83</v>
      </c>
      <c r="Z54" s="100"/>
      <c r="AA54" s="100"/>
      <c r="AB54" s="100"/>
      <c r="AC54" s="100">
        <v>82</v>
      </c>
      <c r="AD54" s="100"/>
      <c r="AE54" s="100"/>
      <c r="AF54" s="100"/>
      <c r="AG54" s="100">
        <v>82</v>
      </c>
      <c r="AH54" s="100"/>
      <c r="AI54" s="100"/>
      <c r="AJ54" s="104">
        <f>AVERAGE(AG54,AC54,Y54,U54)</f>
        <v>82.75</v>
      </c>
      <c r="AK54" s="104"/>
      <c r="AL54" s="104"/>
      <c r="AM54" s="104"/>
      <c r="AN54" s="104"/>
      <c r="AO54" s="104"/>
      <c r="AP54" s="100" t="s">
        <v>87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83</v>
      </c>
      <c r="V55" s="100"/>
      <c r="W55" s="100"/>
      <c r="X55" s="100"/>
      <c r="Y55" s="100">
        <v>82</v>
      </c>
      <c r="Z55" s="100"/>
      <c r="AA55" s="100"/>
      <c r="AB55" s="100"/>
      <c r="AC55" s="100">
        <v>81</v>
      </c>
      <c r="AD55" s="100"/>
      <c r="AE55" s="100"/>
      <c r="AF55" s="100"/>
      <c r="AG55" s="100">
        <v>76</v>
      </c>
      <c r="AH55" s="100"/>
      <c r="AI55" s="100"/>
      <c r="AJ55" s="104">
        <f t="shared" ref="AJ55:AJ65" si="1">AVERAGE(AG55,AC55,Y55,U55)</f>
        <v>80.5</v>
      </c>
      <c r="AK55" s="104"/>
      <c r="AL55" s="104"/>
      <c r="AM55" s="104"/>
      <c r="AN55" s="104"/>
      <c r="AO55" s="104"/>
      <c r="AP55" s="100" t="s">
        <v>87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83</v>
      </c>
      <c r="V56" s="100"/>
      <c r="W56" s="100"/>
      <c r="X56" s="100"/>
      <c r="Y56" s="100">
        <v>83</v>
      </c>
      <c r="Z56" s="100"/>
      <c r="AA56" s="100"/>
      <c r="AB56" s="100"/>
      <c r="AC56" s="100">
        <v>85</v>
      </c>
      <c r="AD56" s="100"/>
      <c r="AE56" s="100"/>
      <c r="AF56" s="100"/>
      <c r="AG56" s="100">
        <v>84</v>
      </c>
      <c r="AH56" s="100"/>
      <c r="AI56" s="100"/>
      <c r="AJ56" s="104">
        <f t="shared" si="1"/>
        <v>83.75</v>
      </c>
      <c r="AK56" s="104"/>
      <c r="AL56" s="104"/>
      <c r="AM56" s="104"/>
      <c r="AN56" s="104"/>
      <c r="AO56" s="104"/>
      <c r="AP56" s="100" t="s">
        <v>87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86</v>
      </c>
      <c r="V57" s="100"/>
      <c r="W57" s="100"/>
      <c r="X57" s="100"/>
      <c r="Y57" s="100">
        <v>83</v>
      </c>
      <c r="Z57" s="100"/>
      <c r="AA57" s="100"/>
      <c r="AB57" s="100"/>
      <c r="AC57" s="100">
        <v>86</v>
      </c>
      <c r="AD57" s="100"/>
      <c r="AE57" s="100"/>
      <c r="AF57" s="100"/>
      <c r="AG57" s="100">
        <v>82</v>
      </c>
      <c r="AH57" s="100"/>
      <c r="AI57" s="100"/>
      <c r="AJ57" s="104">
        <f t="shared" si="1"/>
        <v>84.25</v>
      </c>
      <c r="AK57" s="104"/>
      <c r="AL57" s="104"/>
      <c r="AM57" s="104"/>
      <c r="AN57" s="104"/>
      <c r="AO57" s="104"/>
      <c r="AP57" s="100" t="s">
        <v>87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83</v>
      </c>
      <c r="V58" s="100"/>
      <c r="W58" s="100"/>
      <c r="X58" s="100"/>
      <c r="Y58" s="100">
        <v>81</v>
      </c>
      <c r="Z58" s="100"/>
      <c r="AA58" s="100"/>
      <c r="AB58" s="100"/>
      <c r="AC58" s="100">
        <v>84</v>
      </c>
      <c r="AD58" s="100"/>
      <c r="AE58" s="100"/>
      <c r="AF58" s="100"/>
      <c r="AG58" s="100">
        <v>81</v>
      </c>
      <c r="AH58" s="100"/>
      <c r="AI58" s="100"/>
      <c r="AJ58" s="104">
        <f t="shared" si="1"/>
        <v>82.25</v>
      </c>
      <c r="AK58" s="104"/>
      <c r="AL58" s="104"/>
      <c r="AM58" s="104"/>
      <c r="AN58" s="104"/>
      <c r="AO58" s="104"/>
      <c r="AP58" s="100" t="s">
        <v>87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84</v>
      </c>
      <c r="V59" s="100"/>
      <c r="W59" s="100"/>
      <c r="X59" s="100"/>
      <c r="Y59" s="100">
        <v>85</v>
      </c>
      <c r="Z59" s="100"/>
      <c r="AA59" s="100"/>
      <c r="AB59" s="100"/>
      <c r="AC59" s="100">
        <v>85</v>
      </c>
      <c r="AD59" s="100"/>
      <c r="AE59" s="100"/>
      <c r="AF59" s="100"/>
      <c r="AG59" s="100">
        <v>85</v>
      </c>
      <c r="AH59" s="100"/>
      <c r="AI59" s="100"/>
      <c r="AJ59" s="104">
        <f t="shared" ref="AJ59:AJ60" si="2">AVERAGE(AG59,AC59,Y59,U59)</f>
        <v>84.75</v>
      </c>
      <c r="AK59" s="104"/>
      <c r="AL59" s="104"/>
      <c r="AM59" s="104"/>
      <c r="AN59" s="104"/>
      <c r="AO59" s="104"/>
      <c r="AP59" s="100" t="s">
        <v>87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83</v>
      </c>
      <c r="V60" s="100"/>
      <c r="W60" s="100"/>
      <c r="X60" s="100"/>
      <c r="Y60" s="100">
        <v>83</v>
      </c>
      <c r="Z60" s="100"/>
      <c r="AA60" s="100"/>
      <c r="AB60" s="100"/>
      <c r="AC60" s="100">
        <v>81</v>
      </c>
      <c r="AD60" s="100"/>
      <c r="AE60" s="100"/>
      <c r="AF60" s="100"/>
      <c r="AG60" s="100">
        <v>86</v>
      </c>
      <c r="AH60" s="100"/>
      <c r="AI60" s="100"/>
      <c r="AJ60" s="104">
        <f t="shared" si="2"/>
        <v>83.25</v>
      </c>
      <c r="AK60" s="104"/>
      <c r="AL60" s="104"/>
      <c r="AM60" s="104"/>
      <c r="AN60" s="104"/>
      <c r="AO60" s="104"/>
      <c r="AP60" s="100" t="s">
        <v>87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82</v>
      </c>
      <c r="V61" s="104"/>
      <c r="W61" s="104"/>
      <c r="X61" s="104"/>
      <c r="Y61" s="104">
        <v>80</v>
      </c>
      <c r="Z61" s="104"/>
      <c r="AA61" s="104"/>
      <c r="AB61" s="104"/>
      <c r="AC61" s="104">
        <v>88</v>
      </c>
      <c r="AD61" s="104"/>
      <c r="AE61" s="104"/>
      <c r="AF61" s="104"/>
      <c r="AG61" s="104">
        <v>80</v>
      </c>
      <c r="AH61" s="104"/>
      <c r="AI61" s="104"/>
      <c r="AJ61" s="104">
        <f t="shared" si="1"/>
        <v>82.5</v>
      </c>
      <c r="AK61" s="104"/>
      <c r="AL61" s="104"/>
      <c r="AM61" s="104"/>
      <c r="AN61" s="104"/>
      <c r="AO61" s="104"/>
      <c r="AP61" s="100" t="s">
        <v>87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76</v>
      </c>
      <c r="V62" s="100"/>
      <c r="W62" s="100"/>
      <c r="X62" s="100"/>
      <c r="Y62" s="100">
        <v>79</v>
      </c>
      <c r="Z62" s="100"/>
      <c r="AA62" s="100"/>
      <c r="AB62" s="100"/>
      <c r="AC62" s="100">
        <v>89</v>
      </c>
      <c r="AD62" s="100"/>
      <c r="AE62" s="100"/>
      <c r="AF62" s="100"/>
      <c r="AG62" s="100">
        <v>81</v>
      </c>
      <c r="AH62" s="100"/>
      <c r="AI62" s="100"/>
      <c r="AJ62" s="104">
        <f t="shared" si="1"/>
        <v>81.25</v>
      </c>
      <c r="AK62" s="104"/>
      <c r="AL62" s="104"/>
      <c r="AM62" s="104"/>
      <c r="AN62" s="104"/>
      <c r="AO62" s="104"/>
      <c r="AP62" s="100" t="s">
        <v>87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83</v>
      </c>
      <c r="V63" s="100"/>
      <c r="W63" s="100"/>
      <c r="X63" s="100"/>
      <c r="Y63" s="100">
        <v>79</v>
      </c>
      <c r="Z63" s="100"/>
      <c r="AA63" s="100"/>
      <c r="AB63" s="100"/>
      <c r="AC63" s="100">
        <v>79</v>
      </c>
      <c r="AD63" s="100"/>
      <c r="AE63" s="100"/>
      <c r="AF63" s="100"/>
      <c r="AG63" s="100">
        <v>81</v>
      </c>
      <c r="AH63" s="100"/>
      <c r="AI63" s="100"/>
      <c r="AJ63" s="104">
        <f t="shared" si="1"/>
        <v>80.5</v>
      </c>
      <c r="AK63" s="104"/>
      <c r="AL63" s="104"/>
      <c r="AM63" s="104"/>
      <c r="AN63" s="104"/>
      <c r="AO63" s="104"/>
      <c r="AP63" s="100" t="s">
        <v>87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85</v>
      </c>
      <c r="V64" s="100"/>
      <c r="W64" s="100"/>
      <c r="X64" s="100"/>
      <c r="Y64" s="100">
        <v>82</v>
      </c>
      <c r="Z64" s="100"/>
      <c r="AA64" s="100"/>
      <c r="AB64" s="100"/>
      <c r="AC64" s="100">
        <v>92</v>
      </c>
      <c r="AD64" s="100"/>
      <c r="AE64" s="100"/>
      <c r="AF64" s="100"/>
      <c r="AG64" s="100">
        <v>81</v>
      </c>
      <c r="AH64" s="100"/>
      <c r="AI64" s="100"/>
      <c r="AJ64" s="104">
        <f t="shared" si="1"/>
        <v>85</v>
      </c>
      <c r="AK64" s="104"/>
      <c r="AL64" s="104"/>
      <c r="AM64" s="104"/>
      <c r="AN64" s="104"/>
      <c r="AO64" s="104"/>
      <c r="AP64" s="100" t="s">
        <v>87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83</v>
      </c>
      <c r="V65" s="100"/>
      <c r="W65" s="100"/>
      <c r="X65" s="100"/>
      <c r="Y65" s="100">
        <v>81</v>
      </c>
      <c r="Z65" s="100"/>
      <c r="AA65" s="100"/>
      <c r="AB65" s="100"/>
      <c r="AC65" s="100">
        <v>91</v>
      </c>
      <c r="AD65" s="100"/>
      <c r="AE65" s="100"/>
      <c r="AF65" s="100"/>
      <c r="AG65" s="100">
        <v>77</v>
      </c>
      <c r="AH65" s="100"/>
      <c r="AI65" s="100"/>
      <c r="AJ65" s="104">
        <f t="shared" si="1"/>
        <v>83</v>
      </c>
      <c r="AK65" s="104"/>
      <c r="AL65" s="104"/>
      <c r="AM65" s="104"/>
      <c r="AN65" s="104"/>
      <c r="AO65" s="104"/>
      <c r="AP65" s="100" t="s">
        <v>87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f>AVERAGE(AJ54:AO61)</f>
        <v>83</v>
      </c>
      <c r="AK68" s="63"/>
      <c r="AL68" s="63"/>
      <c r="AM68" s="63"/>
      <c r="AN68" s="63"/>
      <c r="AO68" s="63"/>
      <c r="AP68" s="64" t="s">
        <v>88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 t="s">
        <v>111</v>
      </c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 t="s">
        <v>112</v>
      </c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>
        <v>10</v>
      </c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 t="s">
        <v>83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>
        <v>301860</v>
      </c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 t="s">
        <v>107</v>
      </c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 t="s">
        <v>113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 t="s">
        <v>114</v>
      </c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115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zoomScaleNormal="100" zoomScaleSheetLayoutView="75" workbookViewId="0">
      <selection activeCell="F101" sqref="F101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3"/>
      <c r="BB1" s="123"/>
      <c r="BC1" s="123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 t="s">
        <v>106</v>
      </c>
      <c r="O4" s="107"/>
      <c r="P4" s="107"/>
      <c r="Q4" s="107"/>
      <c r="R4" s="97" t="s">
        <v>45</v>
      </c>
      <c r="S4" s="97"/>
      <c r="T4" s="97"/>
      <c r="U4" s="97"/>
      <c r="V4" s="89" t="s">
        <v>107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108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9" t="s">
        <v>26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1"/>
      <c r="U6" s="180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7" t="s">
        <v>62</v>
      </c>
      <c r="AK6" s="148"/>
      <c r="AL6" s="148"/>
      <c r="AM6" s="148"/>
      <c r="AN6" s="148"/>
      <c r="AO6" s="149"/>
      <c r="AP6" s="145" t="s">
        <v>8</v>
      </c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53"/>
    </row>
    <row r="7" spans="2:55" x14ac:dyDescent="0.25">
      <c r="B7" s="142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4"/>
      <c r="U7" s="180">
        <v>1</v>
      </c>
      <c r="V7" s="89"/>
      <c r="W7" s="89"/>
      <c r="X7" s="90"/>
      <c r="Y7" s="180">
        <v>2</v>
      </c>
      <c r="Z7" s="89"/>
      <c r="AA7" s="89"/>
      <c r="AB7" s="90"/>
      <c r="AC7" s="180">
        <v>3</v>
      </c>
      <c r="AD7" s="89"/>
      <c r="AE7" s="89"/>
      <c r="AF7" s="90"/>
      <c r="AG7" s="180">
        <v>4</v>
      </c>
      <c r="AH7" s="89"/>
      <c r="AI7" s="90"/>
      <c r="AJ7" s="150"/>
      <c r="AK7" s="151"/>
      <c r="AL7" s="151"/>
      <c r="AM7" s="151"/>
      <c r="AN7" s="151"/>
      <c r="AO7" s="152"/>
      <c r="AP7" s="146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54"/>
    </row>
    <row r="8" spans="2:55" x14ac:dyDescent="0.25">
      <c r="B8" s="171" t="s">
        <v>1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3"/>
      <c r="U8" s="167">
        <v>83</v>
      </c>
      <c r="V8" s="168"/>
      <c r="W8" s="168"/>
      <c r="X8" s="170"/>
      <c r="Y8" s="167">
        <v>81</v>
      </c>
      <c r="Z8" s="168"/>
      <c r="AA8" s="168"/>
      <c r="AB8" s="170"/>
      <c r="AC8" s="167">
        <v>84</v>
      </c>
      <c r="AD8" s="168"/>
      <c r="AE8" s="168"/>
      <c r="AF8" s="170"/>
      <c r="AG8" s="167">
        <v>86</v>
      </c>
      <c r="AH8" s="168"/>
      <c r="AI8" s="170"/>
      <c r="AJ8" s="177">
        <f>(U8+Y8+AC8+AG8)/4</f>
        <v>83.5</v>
      </c>
      <c r="AK8" s="178"/>
      <c r="AL8" s="178"/>
      <c r="AM8" s="178"/>
      <c r="AN8" s="178"/>
      <c r="AO8" s="179"/>
      <c r="AP8" s="100" t="s">
        <v>109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71" t="s">
        <v>2</v>
      </c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3"/>
      <c r="U9" s="167">
        <v>85</v>
      </c>
      <c r="V9" s="168"/>
      <c r="W9" s="168"/>
      <c r="X9" s="170"/>
      <c r="Y9" s="167">
        <v>85</v>
      </c>
      <c r="Z9" s="168"/>
      <c r="AA9" s="168"/>
      <c r="AB9" s="170"/>
      <c r="AC9" s="167">
        <v>85</v>
      </c>
      <c r="AD9" s="168"/>
      <c r="AE9" s="168"/>
      <c r="AF9" s="170"/>
      <c r="AG9" s="167">
        <v>85</v>
      </c>
      <c r="AH9" s="168"/>
      <c r="AI9" s="170"/>
      <c r="AJ9" s="177">
        <f t="shared" ref="AJ9:AJ19" si="0">(U9+Y9+AC9+AG9)/4</f>
        <v>85</v>
      </c>
      <c r="AK9" s="178"/>
      <c r="AL9" s="178"/>
      <c r="AM9" s="178"/>
      <c r="AN9" s="178"/>
      <c r="AO9" s="179"/>
      <c r="AP9" s="100" t="s">
        <v>109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71" t="s">
        <v>3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3"/>
      <c r="U10" s="167">
        <v>83</v>
      </c>
      <c r="V10" s="168"/>
      <c r="W10" s="168"/>
      <c r="X10" s="170"/>
      <c r="Y10" s="167">
        <v>83</v>
      </c>
      <c r="Z10" s="168"/>
      <c r="AA10" s="168"/>
      <c r="AB10" s="170"/>
      <c r="AC10" s="167">
        <v>84</v>
      </c>
      <c r="AD10" s="168"/>
      <c r="AE10" s="168"/>
      <c r="AF10" s="170"/>
      <c r="AG10" s="167">
        <v>84</v>
      </c>
      <c r="AH10" s="168"/>
      <c r="AI10" s="170"/>
      <c r="AJ10" s="177">
        <f t="shared" si="0"/>
        <v>83.5</v>
      </c>
      <c r="AK10" s="178"/>
      <c r="AL10" s="178"/>
      <c r="AM10" s="178"/>
      <c r="AN10" s="178"/>
      <c r="AO10" s="179"/>
      <c r="AP10" s="100" t="s">
        <v>109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71" t="s">
        <v>57</v>
      </c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3"/>
      <c r="U11" s="167">
        <v>82</v>
      </c>
      <c r="V11" s="168"/>
      <c r="W11" s="168"/>
      <c r="X11" s="170"/>
      <c r="Y11" s="167">
        <v>86</v>
      </c>
      <c r="Z11" s="168"/>
      <c r="AA11" s="168"/>
      <c r="AB11" s="170"/>
      <c r="AC11" s="167">
        <v>86</v>
      </c>
      <c r="AD11" s="168"/>
      <c r="AE11" s="168"/>
      <c r="AF11" s="170"/>
      <c r="AG11" s="167">
        <v>87</v>
      </c>
      <c r="AH11" s="168"/>
      <c r="AI11" s="170"/>
      <c r="AJ11" s="177">
        <f t="shared" si="0"/>
        <v>85.25</v>
      </c>
      <c r="AK11" s="178"/>
      <c r="AL11" s="178"/>
      <c r="AM11" s="178"/>
      <c r="AN11" s="178"/>
      <c r="AO11" s="179"/>
      <c r="AP11" s="100" t="s">
        <v>109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71" t="s">
        <v>4</v>
      </c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3"/>
      <c r="U12" s="167">
        <v>84</v>
      </c>
      <c r="V12" s="168"/>
      <c r="W12" s="168"/>
      <c r="X12" s="170"/>
      <c r="Y12" s="167">
        <v>86</v>
      </c>
      <c r="Z12" s="168"/>
      <c r="AA12" s="168"/>
      <c r="AB12" s="170"/>
      <c r="AC12" s="167">
        <v>86</v>
      </c>
      <c r="AD12" s="168"/>
      <c r="AE12" s="168"/>
      <c r="AF12" s="170"/>
      <c r="AG12" s="167">
        <v>87</v>
      </c>
      <c r="AH12" s="168"/>
      <c r="AI12" s="170"/>
      <c r="AJ12" s="177">
        <f t="shared" si="0"/>
        <v>85.75</v>
      </c>
      <c r="AK12" s="178"/>
      <c r="AL12" s="178"/>
      <c r="AM12" s="178"/>
      <c r="AN12" s="178"/>
      <c r="AO12" s="179"/>
      <c r="AP12" s="100" t="s">
        <v>109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71" t="s">
        <v>5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3"/>
      <c r="U13" s="167">
        <v>80</v>
      </c>
      <c r="V13" s="168"/>
      <c r="W13" s="168"/>
      <c r="X13" s="170"/>
      <c r="Y13" s="167">
        <v>84</v>
      </c>
      <c r="Z13" s="168"/>
      <c r="AA13" s="168"/>
      <c r="AB13" s="170"/>
      <c r="AC13" s="167">
        <v>85</v>
      </c>
      <c r="AD13" s="168"/>
      <c r="AE13" s="168"/>
      <c r="AF13" s="170"/>
      <c r="AG13" s="167">
        <v>85</v>
      </c>
      <c r="AH13" s="168"/>
      <c r="AI13" s="170"/>
      <c r="AJ13" s="177">
        <f t="shared" si="0"/>
        <v>83.5</v>
      </c>
      <c r="AK13" s="178"/>
      <c r="AL13" s="178"/>
      <c r="AM13" s="178"/>
      <c r="AN13" s="178"/>
      <c r="AO13" s="179"/>
      <c r="AP13" s="100" t="s">
        <v>109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71" t="s">
        <v>6</v>
      </c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3"/>
      <c r="U14" s="167">
        <v>86</v>
      </c>
      <c r="V14" s="168"/>
      <c r="W14" s="168"/>
      <c r="X14" s="170"/>
      <c r="Y14" s="167">
        <v>87</v>
      </c>
      <c r="Z14" s="168"/>
      <c r="AA14" s="168"/>
      <c r="AB14" s="170"/>
      <c r="AC14" s="167">
        <v>88</v>
      </c>
      <c r="AD14" s="168"/>
      <c r="AE14" s="168"/>
      <c r="AF14" s="170"/>
      <c r="AG14" s="167">
        <v>86</v>
      </c>
      <c r="AH14" s="168"/>
      <c r="AI14" s="170"/>
      <c r="AJ14" s="177">
        <f t="shared" si="0"/>
        <v>86.75</v>
      </c>
      <c r="AK14" s="178"/>
      <c r="AL14" s="178"/>
      <c r="AM14" s="178"/>
      <c r="AN14" s="178"/>
      <c r="AO14" s="179"/>
      <c r="AP14" s="100" t="s">
        <v>109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71" t="s">
        <v>7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3"/>
      <c r="U15" s="167">
        <v>83</v>
      </c>
      <c r="V15" s="168"/>
      <c r="W15" s="168"/>
      <c r="X15" s="170"/>
      <c r="Y15" s="167">
        <v>84</v>
      </c>
      <c r="Z15" s="168"/>
      <c r="AA15" s="168"/>
      <c r="AB15" s="170"/>
      <c r="AC15" s="167">
        <v>86</v>
      </c>
      <c r="AD15" s="168"/>
      <c r="AE15" s="168"/>
      <c r="AF15" s="170"/>
      <c r="AG15" s="167">
        <v>88</v>
      </c>
      <c r="AH15" s="168"/>
      <c r="AI15" s="170"/>
      <c r="AJ15" s="177">
        <f t="shared" si="0"/>
        <v>85.25</v>
      </c>
      <c r="AK15" s="178"/>
      <c r="AL15" s="178"/>
      <c r="AM15" s="178"/>
      <c r="AN15" s="178"/>
      <c r="AO15" s="179"/>
      <c r="AP15" s="100" t="s">
        <v>109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4" t="s">
        <v>58</v>
      </c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6"/>
      <c r="U16" s="167">
        <v>82</v>
      </c>
      <c r="V16" s="168"/>
      <c r="W16" s="168"/>
      <c r="X16" s="170"/>
      <c r="Y16" s="167">
        <v>84</v>
      </c>
      <c r="Z16" s="168"/>
      <c r="AA16" s="168"/>
      <c r="AB16" s="170"/>
      <c r="AC16" s="167">
        <v>86</v>
      </c>
      <c r="AD16" s="168"/>
      <c r="AE16" s="168"/>
      <c r="AF16" s="170"/>
      <c r="AG16" s="167">
        <v>88</v>
      </c>
      <c r="AH16" s="168"/>
      <c r="AI16" s="170"/>
      <c r="AJ16" s="177">
        <f t="shared" si="0"/>
        <v>85</v>
      </c>
      <c r="AK16" s="178"/>
      <c r="AL16" s="178"/>
      <c r="AM16" s="178"/>
      <c r="AN16" s="178"/>
      <c r="AO16" s="179"/>
      <c r="AP16" s="100" t="s">
        <v>109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4" t="s">
        <v>59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6"/>
      <c r="U17" s="167">
        <v>83</v>
      </c>
      <c r="V17" s="168"/>
      <c r="W17" s="168"/>
      <c r="X17" s="170"/>
      <c r="Y17" s="167">
        <v>83</v>
      </c>
      <c r="Z17" s="168"/>
      <c r="AA17" s="168"/>
      <c r="AB17" s="170"/>
      <c r="AC17" s="167">
        <v>85</v>
      </c>
      <c r="AD17" s="168"/>
      <c r="AE17" s="168"/>
      <c r="AF17" s="170"/>
      <c r="AG17" s="167">
        <v>87</v>
      </c>
      <c r="AH17" s="168"/>
      <c r="AI17" s="170"/>
      <c r="AJ17" s="177">
        <f t="shared" si="0"/>
        <v>84.5</v>
      </c>
      <c r="AK17" s="178"/>
      <c r="AL17" s="178"/>
      <c r="AM17" s="178"/>
      <c r="AN17" s="178"/>
      <c r="AO17" s="179"/>
      <c r="AP17" s="100" t="s">
        <v>109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4" t="s">
        <v>60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6"/>
      <c r="U18" s="167">
        <v>83</v>
      </c>
      <c r="V18" s="168"/>
      <c r="W18" s="168"/>
      <c r="X18" s="170"/>
      <c r="Y18" s="167">
        <v>85</v>
      </c>
      <c r="Z18" s="168"/>
      <c r="AA18" s="168"/>
      <c r="AB18" s="170"/>
      <c r="AC18" s="167">
        <v>86</v>
      </c>
      <c r="AD18" s="168"/>
      <c r="AE18" s="168"/>
      <c r="AF18" s="170"/>
      <c r="AG18" s="167">
        <v>88</v>
      </c>
      <c r="AH18" s="168"/>
      <c r="AI18" s="170"/>
      <c r="AJ18" s="177">
        <f t="shared" si="0"/>
        <v>85.5</v>
      </c>
      <c r="AK18" s="178"/>
      <c r="AL18" s="178"/>
      <c r="AM18" s="178"/>
      <c r="AN18" s="178"/>
      <c r="AO18" s="179"/>
      <c r="AP18" s="100" t="s">
        <v>109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4" t="s">
        <v>61</v>
      </c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6"/>
      <c r="U19" s="167">
        <v>82</v>
      </c>
      <c r="V19" s="168"/>
      <c r="W19" s="168"/>
      <c r="X19" s="170"/>
      <c r="Y19" s="167">
        <v>83</v>
      </c>
      <c r="Z19" s="168"/>
      <c r="AA19" s="168"/>
      <c r="AB19" s="170"/>
      <c r="AC19" s="167">
        <v>85</v>
      </c>
      <c r="AD19" s="168"/>
      <c r="AE19" s="168"/>
      <c r="AF19" s="170"/>
      <c r="AG19" s="167">
        <v>87</v>
      </c>
      <c r="AH19" s="168"/>
      <c r="AI19" s="170"/>
      <c r="AJ19" s="177">
        <f t="shared" si="0"/>
        <v>84.25</v>
      </c>
      <c r="AK19" s="178"/>
      <c r="AL19" s="178"/>
      <c r="AM19" s="178"/>
      <c r="AN19" s="178"/>
      <c r="AO19" s="179"/>
      <c r="AP19" s="100" t="s">
        <v>109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71" t="s">
        <v>89</v>
      </c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3"/>
      <c r="U20" s="167"/>
      <c r="V20" s="168"/>
      <c r="W20" s="168"/>
      <c r="X20" s="170"/>
      <c r="Y20" s="167"/>
      <c r="Z20" s="168"/>
      <c r="AA20" s="168"/>
      <c r="AB20" s="170"/>
      <c r="AC20" s="167"/>
      <c r="AD20" s="168"/>
      <c r="AE20" s="168"/>
      <c r="AF20" s="170"/>
      <c r="AG20" s="167"/>
      <c r="AH20" s="168"/>
      <c r="AI20" s="170"/>
      <c r="AJ20" s="177"/>
      <c r="AK20" s="178"/>
      <c r="AL20" s="178"/>
      <c r="AM20" s="178"/>
      <c r="AN20" s="178"/>
      <c r="AO20" s="179"/>
      <c r="AP20" s="167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9"/>
    </row>
    <row r="21" spans="2:56" x14ac:dyDescent="0.25">
      <c r="B21" s="158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60"/>
      <c r="U21" s="167"/>
      <c r="V21" s="168"/>
      <c r="W21" s="168"/>
      <c r="X21" s="170"/>
      <c r="Y21" s="167"/>
      <c r="Z21" s="168"/>
      <c r="AA21" s="168"/>
      <c r="AB21" s="170"/>
      <c r="AC21" s="167"/>
      <c r="AD21" s="168"/>
      <c r="AE21" s="168"/>
      <c r="AF21" s="170"/>
      <c r="AG21" s="167"/>
      <c r="AH21" s="168"/>
      <c r="AI21" s="170"/>
      <c r="AJ21" s="177"/>
      <c r="AK21" s="178"/>
      <c r="AL21" s="178"/>
      <c r="AM21" s="178"/>
      <c r="AN21" s="178"/>
      <c r="AO21" s="179"/>
      <c r="AP21" s="167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9"/>
    </row>
    <row r="22" spans="2:56" x14ac:dyDescent="0.25">
      <c r="B22" s="158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60"/>
      <c r="U22" s="161" t="s">
        <v>9</v>
      </c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3"/>
      <c r="AJ22" s="164">
        <f>(AJ8+AJ9+AJ10+AJ11+AJ12+AJ13+AJ14+AJ15)/8</f>
        <v>84.8125</v>
      </c>
      <c r="AK22" s="181"/>
      <c r="AL22" s="181"/>
      <c r="AM22" s="181"/>
      <c r="AN22" s="181"/>
      <c r="AO22" s="182"/>
      <c r="AP22" s="180" t="s">
        <v>110</v>
      </c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183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5"/>
      <c r="L24" s="166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9" t="s">
        <v>27</v>
      </c>
      <c r="C26" s="140"/>
      <c r="D26" s="140"/>
      <c r="E26" s="140"/>
      <c r="F26" s="140"/>
      <c r="G26" s="140"/>
      <c r="H26" s="140"/>
      <c r="I26" s="140"/>
      <c r="J26" s="140"/>
      <c r="K26" s="141"/>
      <c r="L26" s="145" t="s">
        <v>10</v>
      </c>
      <c r="M26" s="140"/>
      <c r="N26" s="140"/>
      <c r="O26" s="140"/>
      <c r="P26" s="140"/>
      <c r="Q26" s="140"/>
      <c r="R26" s="140"/>
      <c r="S26" s="140"/>
      <c r="T26" s="141"/>
      <c r="U26" s="145" t="s">
        <v>11</v>
      </c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1"/>
      <c r="AH26" s="147" t="s">
        <v>63</v>
      </c>
      <c r="AI26" s="148"/>
      <c r="AJ26" s="148"/>
      <c r="AK26" s="148"/>
      <c r="AL26" s="148"/>
      <c r="AM26" s="148"/>
      <c r="AN26" s="148"/>
      <c r="AO26" s="149"/>
      <c r="AP26" s="145" t="s">
        <v>12</v>
      </c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53"/>
    </row>
    <row r="27" spans="2:56" x14ac:dyDescent="0.25">
      <c r="B27" s="142"/>
      <c r="C27" s="143"/>
      <c r="D27" s="143"/>
      <c r="E27" s="143"/>
      <c r="F27" s="143"/>
      <c r="G27" s="143"/>
      <c r="H27" s="143"/>
      <c r="I27" s="143"/>
      <c r="J27" s="143"/>
      <c r="K27" s="144"/>
      <c r="L27" s="146"/>
      <c r="M27" s="143"/>
      <c r="N27" s="143"/>
      <c r="O27" s="143"/>
      <c r="P27" s="143"/>
      <c r="Q27" s="143"/>
      <c r="R27" s="143"/>
      <c r="S27" s="143"/>
      <c r="T27" s="144"/>
      <c r="U27" s="146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4"/>
      <c r="AH27" s="150"/>
      <c r="AI27" s="151"/>
      <c r="AJ27" s="151"/>
      <c r="AK27" s="151"/>
      <c r="AL27" s="151"/>
      <c r="AM27" s="151"/>
      <c r="AN27" s="151"/>
      <c r="AO27" s="152"/>
      <c r="AP27" s="146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54"/>
    </row>
    <row r="28" spans="2:56" x14ac:dyDescent="0.25">
      <c r="B28" s="155"/>
      <c r="C28" s="65"/>
      <c r="D28" s="65"/>
      <c r="E28" s="65"/>
      <c r="F28" s="65"/>
      <c r="G28" s="65"/>
      <c r="H28" s="65"/>
      <c r="I28" s="65"/>
      <c r="J28" s="65"/>
      <c r="K28" s="156"/>
      <c r="L28" s="64"/>
      <c r="M28" s="65"/>
      <c r="N28" s="65"/>
      <c r="O28" s="65"/>
      <c r="P28" s="65"/>
      <c r="Q28" s="65"/>
      <c r="R28" s="65"/>
      <c r="S28" s="65"/>
      <c r="T28" s="15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6"/>
      <c r="AH28" s="64"/>
      <c r="AI28" s="65"/>
      <c r="AJ28" s="65"/>
      <c r="AK28" s="65"/>
      <c r="AL28" s="65"/>
      <c r="AM28" s="65"/>
      <c r="AN28" s="65"/>
      <c r="AO28" s="156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4"/>
      <c r="C29" s="135"/>
      <c r="D29" s="135"/>
      <c r="E29" s="135"/>
      <c r="F29" s="135"/>
      <c r="G29" s="135"/>
      <c r="H29" s="135"/>
      <c r="I29" s="135"/>
      <c r="J29" s="135"/>
      <c r="K29" s="136"/>
      <c r="L29" s="137"/>
      <c r="M29" s="135"/>
      <c r="N29" s="135"/>
      <c r="O29" s="135"/>
      <c r="P29" s="135"/>
      <c r="Q29" s="135"/>
      <c r="R29" s="135"/>
      <c r="S29" s="135"/>
      <c r="T29" s="136"/>
      <c r="U29" s="137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6"/>
      <c r="AH29" s="137"/>
      <c r="AI29" s="135"/>
      <c r="AJ29" s="135"/>
      <c r="AK29" s="135"/>
      <c r="AL29" s="135"/>
      <c r="AM29" s="135"/>
      <c r="AN29" s="135"/>
      <c r="AO29" s="136"/>
      <c r="AP29" s="137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8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/>
      <c r="V31" s="113"/>
      <c r="W31" s="113"/>
      <c r="X31" s="113"/>
      <c r="Y31" s="113"/>
      <c r="Z31" s="113"/>
      <c r="AA31" s="91" t="s">
        <v>41</v>
      </c>
      <c r="AB31" s="91"/>
      <c r="AC31" s="91"/>
      <c r="AD31" s="113"/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/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/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/>
      <c r="J32" s="89"/>
      <c r="K32" s="96" t="s">
        <v>46</v>
      </c>
      <c r="L32" s="96"/>
      <c r="M32" s="96"/>
      <c r="N32" s="107"/>
      <c r="O32" s="107"/>
      <c r="P32" s="107"/>
      <c r="Q32" s="107"/>
      <c r="R32" s="97" t="s">
        <v>45</v>
      </c>
      <c r="S32" s="97"/>
      <c r="T32" s="97"/>
      <c r="U32" s="97"/>
      <c r="V32" s="89"/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9" t="s">
        <v>26</v>
      </c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1"/>
      <c r="U34" s="180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7" t="s">
        <v>62</v>
      </c>
      <c r="AK34" s="148"/>
      <c r="AL34" s="148"/>
      <c r="AM34" s="148"/>
      <c r="AN34" s="148"/>
      <c r="AO34" s="149"/>
      <c r="AP34" s="145" t="s">
        <v>8</v>
      </c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53"/>
    </row>
    <row r="35" spans="2:55" x14ac:dyDescent="0.25"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4"/>
      <c r="U35" s="180">
        <v>1</v>
      </c>
      <c r="V35" s="89"/>
      <c r="W35" s="89"/>
      <c r="X35" s="90"/>
      <c r="Y35" s="180">
        <v>2</v>
      </c>
      <c r="Z35" s="89"/>
      <c r="AA35" s="89"/>
      <c r="AB35" s="90"/>
      <c r="AC35" s="180">
        <v>3</v>
      </c>
      <c r="AD35" s="89"/>
      <c r="AE35" s="89"/>
      <c r="AF35" s="90"/>
      <c r="AG35" s="180">
        <v>4</v>
      </c>
      <c r="AH35" s="89"/>
      <c r="AI35" s="90"/>
      <c r="AJ35" s="150"/>
      <c r="AK35" s="151"/>
      <c r="AL35" s="151"/>
      <c r="AM35" s="151"/>
      <c r="AN35" s="151"/>
      <c r="AO35" s="152"/>
      <c r="AP35" s="146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54"/>
    </row>
    <row r="36" spans="2:55" x14ac:dyDescent="0.25">
      <c r="B36" s="171" t="s">
        <v>1</v>
      </c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3"/>
      <c r="U36" s="167"/>
      <c r="V36" s="168"/>
      <c r="W36" s="168"/>
      <c r="X36" s="170"/>
      <c r="Y36" s="167"/>
      <c r="Z36" s="168"/>
      <c r="AA36" s="168"/>
      <c r="AB36" s="170"/>
      <c r="AC36" s="167"/>
      <c r="AD36" s="168"/>
      <c r="AE36" s="168"/>
      <c r="AF36" s="170"/>
      <c r="AG36" s="167"/>
      <c r="AH36" s="168"/>
      <c r="AI36" s="170"/>
      <c r="AJ36" s="177"/>
      <c r="AK36" s="178"/>
      <c r="AL36" s="178"/>
      <c r="AM36" s="178"/>
      <c r="AN36" s="178"/>
      <c r="AO36" s="179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71" t="s">
        <v>2</v>
      </c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3"/>
      <c r="U37" s="167"/>
      <c r="V37" s="168"/>
      <c r="W37" s="168"/>
      <c r="X37" s="170"/>
      <c r="Y37" s="167"/>
      <c r="Z37" s="168"/>
      <c r="AA37" s="168"/>
      <c r="AB37" s="170"/>
      <c r="AC37" s="167"/>
      <c r="AD37" s="168"/>
      <c r="AE37" s="168"/>
      <c r="AF37" s="170"/>
      <c r="AG37" s="167"/>
      <c r="AH37" s="168"/>
      <c r="AI37" s="170"/>
      <c r="AJ37" s="177"/>
      <c r="AK37" s="178"/>
      <c r="AL37" s="178"/>
      <c r="AM37" s="178"/>
      <c r="AN37" s="178"/>
      <c r="AO37" s="179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71" t="s">
        <v>3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3"/>
      <c r="U38" s="167"/>
      <c r="V38" s="168"/>
      <c r="W38" s="168"/>
      <c r="X38" s="170"/>
      <c r="Y38" s="167"/>
      <c r="Z38" s="168"/>
      <c r="AA38" s="168"/>
      <c r="AB38" s="170"/>
      <c r="AC38" s="167"/>
      <c r="AD38" s="168"/>
      <c r="AE38" s="168"/>
      <c r="AF38" s="170"/>
      <c r="AG38" s="167"/>
      <c r="AH38" s="168"/>
      <c r="AI38" s="170"/>
      <c r="AJ38" s="177"/>
      <c r="AK38" s="178"/>
      <c r="AL38" s="178"/>
      <c r="AM38" s="178"/>
      <c r="AN38" s="178"/>
      <c r="AO38" s="179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71" t="s">
        <v>57</v>
      </c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3"/>
      <c r="U39" s="167"/>
      <c r="V39" s="168"/>
      <c r="W39" s="168"/>
      <c r="X39" s="170"/>
      <c r="Y39" s="167"/>
      <c r="Z39" s="168"/>
      <c r="AA39" s="168"/>
      <c r="AB39" s="170"/>
      <c r="AC39" s="167"/>
      <c r="AD39" s="168"/>
      <c r="AE39" s="168"/>
      <c r="AF39" s="170"/>
      <c r="AG39" s="167"/>
      <c r="AH39" s="168"/>
      <c r="AI39" s="170"/>
      <c r="AJ39" s="177"/>
      <c r="AK39" s="178"/>
      <c r="AL39" s="178"/>
      <c r="AM39" s="178"/>
      <c r="AN39" s="178"/>
      <c r="AO39" s="179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71" t="s">
        <v>4</v>
      </c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3"/>
      <c r="U40" s="167"/>
      <c r="V40" s="168"/>
      <c r="W40" s="168"/>
      <c r="X40" s="170"/>
      <c r="Y40" s="167"/>
      <c r="Z40" s="168"/>
      <c r="AA40" s="168"/>
      <c r="AB40" s="170"/>
      <c r="AC40" s="167"/>
      <c r="AD40" s="168"/>
      <c r="AE40" s="168"/>
      <c r="AF40" s="170"/>
      <c r="AG40" s="167"/>
      <c r="AH40" s="168"/>
      <c r="AI40" s="170"/>
      <c r="AJ40" s="177"/>
      <c r="AK40" s="178"/>
      <c r="AL40" s="178"/>
      <c r="AM40" s="178"/>
      <c r="AN40" s="178"/>
      <c r="AO40" s="179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71" t="s">
        <v>5</v>
      </c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3"/>
      <c r="U41" s="167"/>
      <c r="V41" s="168"/>
      <c r="W41" s="168"/>
      <c r="X41" s="170"/>
      <c r="Y41" s="167"/>
      <c r="Z41" s="168"/>
      <c r="AA41" s="168"/>
      <c r="AB41" s="170"/>
      <c r="AC41" s="167"/>
      <c r="AD41" s="168"/>
      <c r="AE41" s="168"/>
      <c r="AF41" s="170"/>
      <c r="AG41" s="167"/>
      <c r="AH41" s="168"/>
      <c r="AI41" s="170"/>
      <c r="AJ41" s="177"/>
      <c r="AK41" s="178"/>
      <c r="AL41" s="178"/>
      <c r="AM41" s="178"/>
      <c r="AN41" s="178"/>
      <c r="AO41" s="179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71" t="s">
        <v>6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3"/>
      <c r="U42" s="167"/>
      <c r="V42" s="168"/>
      <c r="W42" s="168"/>
      <c r="X42" s="170"/>
      <c r="Y42" s="167"/>
      <c r="Z42" s="168"/>
      <c r="AA42" s="168"/>
      <c r="AB42" s="170"/>
      <c r="AC42" s="167"/>
      <c r="AD42" s="168"/>
      <c r="AE42" s="168"/>
      <c r="AF42" s="170"/>
      <c r="AG42" s="167"/>
      <c r="AH42" s="168"/>
      <c r="AI42" s="170"/>
      <c r="AJ42" s="177"/>
      <c r="AK42" s="178"/>
      <c r="AL42" s="178"/>
      <c r="AM42" s="178"/>
      <c r="AN42" s="178"/>
      <c r="AO42" s="179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71" t="s">
        <v>7</v>
      </c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3"/>
      <c r="U43" s="167"/>
      <c r="V43" s="168"/>
      <c r="W43" s="168"/>
      <c r="X43" s="170"/>
      <c r="Y43" s="167"/>
      <c r="Z43" s="168"/>
      <c r="AA43" s="168"/>
      <c r="AB43" s="170"/>
      <c r="AC43" s="167"/>
      <c r="AD43" s="168"/>
      <c r="AE43" s="168"/>
      <c r="AF43" s="170"/>
      <c r="AG43" s="167"/>
      <c r="AH43" s="168"/>
      <c r="AI43" s="170"/>
      <c r="AJ43" s="177"/>
      <c r="AK43" s="178"/>
      <c r="AL43" s="178"/>
      <c r="AM43" s="178"/>
      <c r="AN43" s="178"/>
      <c r="AO43" s="179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4" t="s">
        <v>58</v>
      </c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6"/>
      <c r="U44" s="167"/>
      <c r="V44" s="168"/>
      <c r="W44" s="168"/>
      <c r="X44" s="170"/>
      <c r="Y44" s="167"/>
      <c r="Z44" s="168"/>
      <c r="AA44" s="168"/>
      <c r="AB44" s="170"/>
      <c r="AC44" s="167"/>
      <c r="AD44" s="168"/>
      <c r="AE44" s="168"/>
      <c r="AF44" s="170"/>
      <c r="AG44" s="167"/>
      <c r="AH44" s="168"/>
      <c r="AI44" s="170"/>
      <c r="AJ44" s="177"/>
      <c r="AK44" s="178"/>
      <c r="AL44" s="178"/>
      <c r="AM44" s="178"/>
      <c r="AN44" s="178"/>
      <c r="AO44" s="179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4" t="s">
        <v>59</v>
      </c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6"/>
      <c r="U45" s="167"/>
      <c r="V45" s="168"/>
      <c r="W45" s="168"/>
      <c r="X45" s="170"/>
      <c r="Y45" s="167"/>
      <c r="Z45" s="168"/>
      <c r="AA45" s="168"/>
      <c r="AB45" s="170"/>
      <c r="AC45" s="167"/>
      <c r="AD45" s="168"/>
      <c r="AE45" s="168"/>
      <c r="AF45" s="170"/>
      <c r="AG45" s="167"/>
      <c r="AH45" s="168"/>
      <c r="AI45" s="170"/>
      <c r="AJ45" s="177"/>
      <c r="AK45" s="178"/>
      <c r="AL45" s="178"/>
      <c r="AM45" s="178"/>
      <c r="AN45" s="178"/>
      <c r="AO45" s="179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4" t="s">
        <v>60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6"/>
      <c r="U46" s="167"/>
      <c r="V46" s="168"/>
      <c r="W46" s="168"/>
      <c r="X46" s="170"/>
      <c r="Y46" s="167"/>
      <c r="Z46" s="168"/>
      <c r="AA46" s="168"/>
      <c r="AB46" s="170"/>
      <c r="AC46" s="167"/>
      <c r="AD46" s="168"/>
      <c r="AE46" s="168"/>
      <c r="AF46" s="170"/>
      <c r="AG46" s="167"/>
      <c r="AH46" s="168"/>
      <c r="AI46" s="170"/>
      <c r="AJ46" s="177"/>
      <c r="AK46" s="178"/>
      <c r="AL46" s="178"/>
      <c r="AM46" s="178"/>
      <c r="AN46" s="178"/>
      <c r="AO46" s="179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4" t="s">
        <v>61</v>
      </c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6"/>
      <c r="U47" s="167"/>
      <c r="V47" s="168"/>
      <c r="W47" s="168"/>
      <c r="X47" s="170"/>
      <c r="Y47" s="167"/>
      <c r="Z47" s="168"/>
      <c r="AA47" s="168"/>
      <c r="AB47" s="170"/>
      <c r="AC47" s="167"/>
      <c r="AD47" s="168"/>
      <c r="AE47" s="168"/>
      <c r="AF47" s="170"/>
      <c r="AG47" s="167"/>
      <c r="AH47" s="168"/>
      <c r="AI47" s="170"/>
      <c r="AJ47" s="177"/>
      <c r="AK47" s="178"/>
      <c r="AL47" s="178"/>
      <c r="AM47" s="178"/>
      <c r="AN47" s="178"/>
      <c r="AO47" s="179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71" t="s">
        <v>89</v>
      </c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3"/>
      <c r="U48" s="167"/>
      <c r="V48" s="168"/>
      <c r="W48" s="168"/>
      <c r="X48" s="170"/>
      <c r="Y48" s="167"/>
      <c r="Z48" s="168"/>
      <c r="AA48" s="168"/>
      <c r="AB48" s="170"/>
      <c r="AC48" s="167"/>
      <c r="AD48" s="168"/>
      <c r="AE48" s="168"/>
      <c r="AF48" s="170"/>
      <c r="AG48" s="167"/>
      <c r="AH48" s="168"/>
      <c r="AI48" s="170"/>
      <c r="AJ48" s="167"/>
      <c r="AK48" s="168"/>
      <c r="AL48" s="168"/>
      <c r="AM48" s="168"/>
      <c r="AN48" s="168"/>
      <c r="AO48" s="170"/>
      <c r="AP48" s="167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168"/>
      <c r="BB48" s="168"/>
      <c r="BC48" s="169"/>
    </row>
    <row r="49" spans="2:56" x14ac:dyDescent="0.25">
      <c r="B49" s="158" t="s">
        <v>90</v>
      </c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60"/>
      <c r="U49" s="167"/>
      <c r="V49" s="168"/>
      <c r="W49" s="168"/>
      <c r="X49" s="170"/>
      <c r="Y49" s="167"/>
      <c r="Z49" s="168"/>
      <c r="AA49" s="168"/>
      <c r="AB49" s="170"/>
      <c r="AC49" s="167"/>
      <c r="AD49" s="168"/>
      <c r="AE49" s="168"/>
      <c r="AF49" s="170"/>
      <c r="AG49" s="167"/>
      <c r="AH49" s="168"/>
      <c r="AI49" s="170"/>
      <c r="AJ49" s="167"/>
      <c r="AK49" s="168"/>
      <c r="AL49" s="168"/>
      <c r="AM49" s="168"/>
      <c r="AN49" s="168"/>
      <c r="AO49" s="170"/>
      <c r="AP49" s="167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9"/>
    </row>
    <row r="50" spans="2:56" x14ac:dyDescent="0.25">
      <c r="B50" s="158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60"/>
      <c r="U50" s="161" t="s">
        <v>9</v>
      </c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3"/>
      <c r="AJ50" s="164"/>
      <c r="AK50" s="89"/>
      <c r="AL50" s="89"/>
      <c r="AM50" s="89"/>
      <c r="AN50" s="89"/>
      <c r="AO50" s="90"/>
      <c r="AP50" s="64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5"/>
      <c r="L52" s="166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9" t="s">
        <v>27</v>
      </c>
      <c r="C54" s="140"/>
      <c r="D54" s="140"/>
      <c r="E54" s="140"/>
      <c r="F54" s="140"/>
      <c r="G54" s="140"/>
      <c r="H54" s="140"/>
      <c r="I54" s="140"/>
      <c r="J54" s="140"/>
      <c r="K54" s="141"/>
      <c r="L54" s="145" t="s">
        <v>10</v>
      </c>
      <c r="M54" s="140"/>
      <c r="N54" s="140"/>
      <c r="O54" s="140"/>
      <c r="P54" s="140"/>
      <c r="Q54" s="140"/>
      <c r="R54" s="140"/>
      <c r="S54" s="140"/>
      <c r="T54" s="141"/>
      <c r="U54" s="145" t="s">
        <v>11</v>
      </c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1"/>
      <c r="AH54" s="147" t="s">
        <v>63</v>
      </c>
      <c r="AI54" s="148"/>
      <c r="AJ54" s="148"/>
      <c r="AK54" s="148"/>
      <c r="AL54" s="148"/>
      <c r="AM54" s="148"/>
      <c r="AN54" s="148"/>
      <c r="AO54" s="149"/>
      <c r="AP54" s="145" t="s">
        <v>12</v>
      </c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53"/>
    </row>
    <row r="55" spans="2:56" x14ac:dyDescent="0.25">
      <c r="B55" s="142"/>
      <c r="C55" s="143"/>
      <c r="D55" s="143"/>
      <c r="E55" s="143"/>
      <c r="F55" s="143"/>
      <c r="G55" s="143"/>
      <c r="H55" s="143"/>
      <c r="I55" s="143"/>
      <c r="J55" s="143"/>
      <c r="K55" s="144"/>
      <c r="L55" s="146"/>
      <c r="M55" s="143"/>
      <c r="N55" s="143"/>
      <c r="O55" s="143"/>
      <c r="P55" s="143"/>
      <c r="Q55" s="143"/>
      <c r="R55" s="143"/>
      <c r="S55" s="143"/>
      <c r="T55" s="144"/>
      <c r="U55" s="146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4"/>
      <c r="AH55" s="150"/>
      <c r="AI55" s="151"/>
      <c r="AJ55" s="151"/>
      <c r="AK55" s="151"/>
      <c r="AL55" s="151"/>
      <c r="AM55" s="151"/>
      <c r="AN55" s="151"/>
      <c r="AO55" s="152"/>
      <c r="AP55" s="146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54"/>
    </row>
    <row r="56" spans="2:56" x14ac:dyDescent="0.25">
      <c r="B56" s="155"/>
      <c r="C56" s="65"/>
      <c r="D56" s="65"/>
      <c r="E56" s="65"/>
      <c r="F56" s="65"/>
      <c r="G56" s="65"/>
      <c r="H56" s="65"/>
      <c r="I56" s="65"/>
      <c r="J56" s="65"/>
      <c r="K56" s="156"/>
      <c r="L56" s="64"/>
      <c r="M56" s="65"/>
      <c r="N56" s="65"/>
      <c r="O56" s="65"/>
      <c r="P56" s="65"/>
      <c r="Q56" s="65"/>
      <c r="R56" s="65"/>
      <c r="S56" s="65"/>
      <c r="T56" s="156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6"/>
      <c r="AH56" s="64"/>
      <c r="AI56" s="65"/>
      <c r="AJ56" s="65"/>
      <c r="AK56" s="65"/>
      <c r="AL56" s="65"/>
      <c r="AM56" s="65"/>
      <c r="AN56" s="65"/>
      <c r="AO56" s="156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4"/>
      <c r="C57" s="135"/>
      <c r="D57" s="135"/>
      <c r="E57" s="135"/>
      <c r="F57" s="135"/>
      <c r="G57" s="135"/>
      <c r="H57" s="135"/>
      <c r="I57" s="135"/>
      <c r="J57" s="135"/>
      <c r="K57" s="136"/>
      <c r="L57" s="137"/>
      <c r="M57" s="135"/>
      <c r="N57" s="135"/>
      <c r="O57" s="135"/>
      <c r="P57" s="135"/>
      <c r="Q57" s="135"/>
      <c r="R57" s="135"/>
      <c r="S57" s="135"/>
      <c r="T57" s="136"/>
      <c r="U57" s="137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6"/>
      <c r="AH57" s="137"/>
      <c r="AI57" s="135"/>
      <c r="AJ57" s="135"/>
      <c r="AK57" s="135"/>
      <c r="AL57" s="135"/>
      <c r="AM57" s="135"/>
      <c r="AN57" s="135"/>
      <c r="AO57" s="136"/>
      <c r="AP57" s="137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8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91" t="s">
        <v>28</v>
      </c>
      <c r="R59" s="91"/>
      <c r="S59" s="91"/>
      <c r="T59" s="91"/>
      <c r="U59" s="157"/>
      <c r="V59" s="157"/>
      <c r="W59" s="157"/>
      <c r="X59" s="157"/>
      <c r="Y59" s="157"/>
      <c r="Z59" s="157"/>
      <c r="AA59" s="91" t="s">
        <v>41</v>
      </c>
      <c r="AB59" s="91"/>
      <c r="AC59" s="91"/>
      <c r="AD59" s="157"/>
      <c r="AE59" s="157"/>
      <c r="AF59" s="157"/>
      <c r="AG59" s="157"/>
      <c r="AH59" s="157"/>
      <c r="AI59" s="157"/>
      <c r="AJ59" s="157"/>
      <c r="AK59" s="157"/>
      <c r="AL59" s="157"/>
      <c r="AM59" s="95" t="s">
        <v>40</v>
      </c>
      <c r="AN59" s="95"/>
      <c r="AO59" s="95"/>
      <c r="AP59" s="157"/>
      <c r="AQ59" s="157"/>
      <c r="AR59" s="157"/>
      <c r="AS59" s="157"/>
      <c r="AT59" s="157"/>
      <c r="AU59" s="157"/>
      <c r="AV59" s="157"/>
      <c r="AW59" s="157"/>
      <c r="AX59" s="157"/>
      <c r="AY59" s="91" t="s">
        <v>55</v>
      </c>
      <c r="AZ59" s="91"/>
      <c r="BA59" s="91"/>
      <c r="BB59" s="157"/>
      <c r="BC59" s="184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9" t="s">
        <v>26</v>
      </c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1"/>
      <c r="U62" s="180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7" t="s">
        <v>62</v>
      </c>
      <c r="AK62" s="148"/>
      <c r="AL62" s="148"/>
      <c r="AM62" s="148"/>
      <c r="AN62" s="148"/>
      <c r="AO62" s="149"/>
      <c r="AP62" s="145" t="s">
        <v>8</v>
      </c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53"/>
    </row>
    <row r="63" spans="2:56" s="13" customFormat="1" x14ac:dyDescent="0.25">
      <c r="B63" s="142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4"/>
      <c r="U63" s="180">
        <v>1</v>
      </c>
      <c r="V63" s="89"/>
      <c r="W63" s="89"/>
      <c r="X63" s="90"/>
      <c r="Y63" s="180">
        <v>2</v>
      </c>
      <c r="Z63" s="89"/>
      <c r="AA63" s="89"/>
      <c r="AB63" s="90"/>
      <c r="AC63" s="180">
        <v>3</v>
      </c>
      <c r="AD63" s="89"/>
      <c r="AE63" s="89"/>
      <c r="AF63" s="90"/>
      <c r="AG63" s="180">
        <v>4</v>
      </c>
      <c r="AH63" s="89"/>
      <c r="AI63" s="90"/>
      <c r="AJ63" s="150"/>
      <c r="AK63" s="151"/>
      <c r="AL63" s="151"/>
      <c r="AM63" s="151"/>
      <c r="AN63" s="151"/>
      <c r="AO63" s="152"/>
      <c r="AP63" s="146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54"/>
    </row>
    <row r="64" spans="2:56" s="13" customFormat="1" x14ac:dyDescent="0.25">
      <c r="B64" s="171" t="s">
        <v>1</v>
      </c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3"/>
      <c r="U64" s="167"/>
      <c r="V64" s="168"/>
      <c r="W64" s="168"/>
      <c r="X64" s="170"/>
      <c r="Y64" s="167"/>
      <c r="Z64" s="168"/>
      <c r="AA64" s="168"/>
      <c r="AB64" s="170"/>
      <c r="AC64" s="167"/>
      <c r="AD64" s="168"/>
      <c r="AE64" s="168"/>
      <c r="AF64" s="170"/>
      <c r="AG64" s="167"/>
      <c r="AH64" s="168"/>
      <c r="AI64" s="170"/>
      <c r="AJ64" s="167"/>
      <c r="AK64" s="168"/>
      <c r="AL64" s="168"/>
      <c r="AM64" s="168"/>
      <c r="AN64" s="168"/>
      <c r="AO64" s="170"/>
      <c r="AP64" s="167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9"/>
    </row>
    <row r="65" spans="2:55" s="13" customFormat="1" x14ac:dyDescent="0.25">
      <c r="B65" s="171" t="s">
        <v>2</v>
      </c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3"/>
      <c r="U65" s="167"/>
      <c r="V65" s="168"/>
      <c r="W65" s="168"/>
      <c r="X65" s="170"/>
      <c r="Y65" s="167"/>
      <c r="Z65" s="168"/>
      <c r="AA65" s="168"/>
      <c r="AB65" s="170"/>
      <c r="AC65" s="167"/>
      <c r="AD65" s="168"/>
      <c r="AE65" s="168"/>
      <c r="AF65" s="170"/>
      <c r="AG65" s="167"/>
      <c r="AH65" s="168"/>
      <c r="AI65" s="170"/>
      <c r="AJ65" s="167"/>
      <c r="AK65" s="168"/>
      <c r="AL65" s="168"/>
      <c r="AM65" s="168"/>
      <c r="AN65" s="168"/>
      <c r="AO65" s="170"/>
      <c r="AP65" s="167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9"/>
    </row>
    <row r="66" spans="2:55" s="13" customFormat="1" x14ac:dyDescent="0.25">
      <c r="B66" s="171" t="s">
        <v>3</v>
      </c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3"/>
      <c r="U66" s="167"/>
      <c r="V66" s="168"/>
      <c r="W66" s="168"/>
      <c r="X66" s="170"/>
      <c r="Y66" s="167"/>
      <c r="Z66" s="168"/>
      <c r="AA66" s="168"/>
      <c r="AB66" s="170"/>
      <c r="AC66" s="167"/>
      <c r="AD66" s="168"/>
      <c r="AE66" s="168"/>
      <c r="AF66" s="170"/>
      <c r="AG66" s="167"/>
      <c r="AH66" s="168"/>
      <c r="AI66" s="170"/>
      <c r="AJ66" s="167"/>
      <c r="AK66" s="168"/>
      <c r="AL66" s="168"/>
      <c r="AM66" s="168"/>
      <c r="AN66" s="168"/>
      <c r="AO66" s="170"/>
      <c r="AP66" s="167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9"/>
    </row>
    <row r="67" spans="2:55" s="13" customFormat="1" x14ac:dyDescent="0.25">
      <c r="B67" s="171" t="s">
        <v>57</v>
      </c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3"/>
      <c r="U67" s="167"/>
      <c r="V67" s="168"/>
      <c r="W67" s="168"/>
      <c r="X67" s="170"/>
      <c r="Y67" s="167"/>
      <c r="Z67" s="168"/>
      <c r="AA67" s="168"/>
      <c r="AB67" s="170"/>
      <c r="AC67" s="167"/>
      <c r="AD67" s="168"/>
      <c r="AE67" s="168"/>
      <c r="AF67" s="170"/>
      <c r="AG67" s="167"/>
      <c r="AH67" s="168"/>
      <c r="AI67" s="170"/>
      <c r="AJ67" s="167"/>
      <c r="AK67" s="168"/>
      <c r="AL67" s="168"/>
      <c r="AM67" s="168"/>
      <c r="AN67" s="168"/>
      <c r="AO67" s="170"/>
      <c r="AP67" s="167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9"/>
    </row>
    <row r="68" spans="2:55" s="13" customFormat="1" x14ac:dyDescent="0.25">
      <c r="B68" s="171" t="s">
        <v>4</v>
      </c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3"/>
      <c r="U68" s="167"/>
      <c r="V68" s="168"/>
      <c r="W68" s="168"/>
      <c r="X68" s="170"/>
      <c r="Y68" s="167"/>
      <c r="Z68" s="168"/>
      <c r="AA68" s="168"/>
      <c r="AB68" s="170"/>
      <c r="AC68" s="167"/>
      <c r="AD68" s="168"/>
      <c r="AE68" s="168"/>
      <c r="AF68" s="170"/>
      <c r="AG68" s="167"/>
      <c r="AH68" s="168"/>
      <c r="AI68" s="170"/>
      <c r="AJ68" s="167"/>
      <c r="AK68" s="168"/>
      <c r="AL68" s="168"/>
      <c r="AM68" s="168"/>
      <c r="AN68" s="168"/>
      <c r="AO68" s="170"/>
      <c r="AP68" s="167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9"/>
    </row>
    <row r="69" spans="2:55" s="13" customFormat="1" x14ac:dyDescent="0.25">
      <c r="B69" s="171" t="s">
        <v>5</v>
      </c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3"/>
      <c r="U69" s="167"/>
      <c r="V69" s="168"/>
      <c r="W69" s="168"/>
      <c r="X69" s="170"/>
      <c r="Y69" s="167"/>
      <c r="Z69" s="168"/>
      <c r="AA69" s="168"/>
      <c r="AB69" s="170"/>
      <c r="AC69" s="167"/>
      <c r="AD69" s="168"/>
      <c r="AE69" s="168"/>
      <c r="AF69" s="170"/>
      <c r="AG69" s="167"/>
      <c r="AH69" s="168"/>
      <c r="AI69" s="170"/>
      <c r="AJ69" s="167"/>
      <c r="AK69" s="168"/>
      <c r="AL69" s="168"/>
      <c r="AM69" s="168"/>
      <c r="AN69" s="168"/>
      <c r="AO69" s="170"/>
      <c r="AP69" s="167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C69" s="169"/>
    </row>
    <row r="70" spans="2:55" s="13" customFormat="1" x14ac:dyDescent="0.25">
      <c r="B70" s="171" t="s">
        <v>6</v>
      </c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3"/>
      <c r="U70" s="167"/>
      <c r="V70" s="168"/>
      <c r="W70" s="168"/>
      <c r="X70" s="170"/>
      <c r="Y70" s="167"/>
      <c r="Z70" s="168"/>
      <c r="AA70" s="168"/>
      <c r="AB70" s="170"/>
      <c r="AC70" s="167"/>
      <c r="AD70" s="168"/>
      <c r="AE70" s="168"/>
      <c r="AF70" s="170"/>
      <c r="AG70" s="167"/>
      <c r="AH70" s="168"/>
      <c r="AI70" s="170"/>
      <c r="AJ70" s="167"/>
      <c r="AK70" s="168"/>
      <c r="AL70" s="168"/>
      <c r="AM70" s="168"/>
      <c r="AN70" s="168"/>
      <c r="AO70" s="170"/>
      <c r="AP70" s="167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C70" s="169"/>
    </row>
    <row r="71" spans="2:55" s="13" customFormat="1" x14ac:dyDescent="0.25">
      <c r="B71" s="171" t="s">
        <v>7</v>
      </c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3"/>
      <c r="U71" s="167"/>
      <c r="V71" s="168"/>
      <c r="W71" s="168"/>
      <c r="X71" s="170"/>
      <c r="Y71" s="167"/>
      <c r="Z71" s="168"/>
      <c r="AA71" s="168"/>
      <c r="AB71" s="170"/>
      <c r="AC71" s="167"/>
      <c r="AD71" s="168"/>
      <c r="AE71" s="168"/>
      <c r="AF71" s="170"/>
      <c r="AG71" s="167"/>
      <c r="AH71" s="168"/>
      <c r="AI71" s="170"/>
      <c r="AJ71" s="167"/>
      <c r="AK71" s="168"/>
      <c r="AL71" s="168"/>
      <c r="AM71" s="168"/>
      <c r="AN71" s="168"/>
      <c r="AO71" s="170"/>
      <c r="AP71" s="167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C71" s="169"/>
    </row>
    <row r="72" spans="2:55" s="13" customFormat="1" ht="16.5" customHeight="1" x14ac:dyDescent="0.25">
      <c r="B72" s="174" t="s">
        <v>58</v>
      </c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6"/>
      <c r="U72" s="167"/>
      <c r="V72" s="168"/>
      <c r="W72" s="168"/>
      <c r="X72" s="170"/>
      <c r="Y72" s="167"/>
      <c r="Z72" s="168"/>
      <c r="AA72" s="168"/>
      <c r="AB72" s="170"/>
      <c r="AC72" s="167"/>
      <c r="AD72" s="168"/>
      <c r="AE72" s="168"/>
      <c r="AF72" s="170"/>
      <c r="AG72" s="167"/>
      <c r="AH72" s="168"/>
      <c r="AI72" s="170"/>
      <c r="AJ72" s="167"/>
      <c r="AK72" s="168"/>
      <c r="AL72" s="168"/>
      <c r="AM72" s="168"/>
      <c r="AN72" s="168"/>
      <c r="AO72" s="170"/>
      <c r="AP72" s="167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9"/>
    </row>
    <row r="73" spans="2:55" s="13" customFormat="1" x14ac:dyDescent="0.25">
      <c r="B73" s="174" t="s">
        <v>59</v>
      </c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6"/>
      <c r="U73" s="167"/>
      <c r="V73" s="168"/>
      <c r="W73" s="168"/>
      <c r="X73" s="170"/>
      <c r="Y73" s="167"/>
      <c r="Z73" s="168"/>
      <c r="AA73" s="168"/>
      <c r="AB73" s="170"/>
      <c r="AC73" s="167"/>
      <c r="AD73" s="168"/>
      <c r="AE73" s="168"/>
      <c r="AF73" s="170"/>
      <c r="AG73" s="167"/>
      <c r="AH73" s="168"/>
      <c r="AI73" s="170"/>
      <c r="AJ73" s="167"/>
      <c r="AK73" s="168"/>
      <c r="AL73" s="168"/>
      <c r="AM73" s="168"/>
      <c r="AN73" s="168"/>
      <c r="AO73" s="170"/>
      <c r="AP73" s="167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9"/>
    </row>
    <row r="74" spans="2:55" s="13" customFormat="1" x14ac:dyDescent="0.25">
      <c r="B74" s="174" t="s">
        <v>60</v>
      </c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6"/>
      <c r="U74" s="167"/>
      <c r="V74" s="168"/>
      <c r="W74" s="168"/>
      <c r="X74" s="170"/>
      <c r="Y74" s="167"/>
      <c r="Z74" s="168"/>
      <c r="AA74" s="168"/>
      <c r="AB74" s="170"/>
      <c r="AC74" s="167"/>
      <c r="AD74" s="168"/>
      <c r="AE74" s="168"/>
      <c r="AF74" s="170"/>
      <c r="AG74" s="167"/>
      <c r="AH74" s="168"/>
      <c r="AI74" s="170"/>
      <c r="AJ74" s="167"/>
      <c r="AK74" s="168"/>
      <c r="AL74" s="168"/>
      <c r="AM74" s="168"/>
      <c r="AN74" s="168"/>
      <c r="AO74" s="170"/>
      <c r="AP74" s="167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9"/>
    </row>
    <row r="75" spans="2:55" s="13" customFormat="1" x14ac:dyDescent="0.25">
      <c r="B75" s="174" t="s">
        <v>61</v>
      </c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6"/>
      <c r="U75" s="167"/>
      <c r="V75" s="168"/>
      <c r="W75" s="168"/>
      <c r="X75" s="170"/>
      <c r="Y75" s="167"/>
      <c r="Z75" s="168"/>
      <c r="AA75" s="168"/>
      <c r="AB75" s="170"/>
      <c r="AC75" s="167"/>
      <c r="AD75" s="168"/>
      <c r="AE75" s="168"/>
      <c r="AF75" s="170"/>
      <c r="AG75" s="167"/>
      <c r="AH75" s="168"/>
      <c r="AI75" s="170"/>
      <c r="AJ75" s="167"/>
      <c r="AK75" s="168"/>
      <c r="AL75" s="168"/>
      <c r="AM75" s="168"/>
      <c r="AN75" s="168"/>
      <c r="AO75" s="170"/>
      <c r="AP75" s="167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9"/>
    </row>
    <row r="76" spans="2:55" s="13" customFormat="1" x14ac:dyDescent="0.25">
      <c r="B76" s="171" t="s">
        <v>89</v>
      </c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3"/>
      <c r="U76" s="167"/>
      <c r="V76" s="168"/>
      <c r="W76" s="168"/>
      <c r="X76" s="170"/>
      <c r="Y76" s="167"/>
      <c r="Z76" s="168"/>
      <c r="AA76" s="168"/>
      <c r="AB76" s="170"/>
      <c r="AC76" s="167"/>
      <c r="AD76" s="168"/>
      <c r="AE76" s="168"/>
      <c r="AF76" s="170"/>
      <c r="AG76" s="167"/>
      <c r="AH76" s="168"/>
      <c r="AI76" s="170"/>
      <c r="AJ76" s="167"/>
      <c r="AK76" s="168"/>
      <c r="AL76" s="168"/>
      <c r="AM76" s="168"/>
      <c r="AN76" s="168"/>
      <c r="AO76" s="170"/>
      <c r="AP76" s="167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9"/>
    </row>
    <row r="77" spans="2:55" s="13" customFormat="1" x14ac:dyDescent="0.25">
      <c r="B77" s="158" t="s">
        <v>90</v>
      </c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60"/>
      <c r="U77" s="167"/>
      <c r="V77" s="168"/>
      <c r="W77" s="168"/>
      <c r="X77" s="170"/>
      <c r="Y77" s="167"/>
      <c r="Z77" s="168"/>
      <c r="AA77" s="168"/>
      <c r="AB77" s="170"/>
      <c r="AC77" s="167"/>
      <c r="AD77" s="168"/>
      <c r="AE77" s="168"/>
      <c r="AF77" s="170"/>
      <c r="AG77" s="167"/>
      <c r="AH77" s="168"/>
      <c r="AI77" s="170"/>
      <c r="AJ77" s="167"/>
      <c r="AK77" s="168"/>
      <c r="AL77" s="168"/>
      <c r="AM77" s="168"/>
      <c r="AN77" s="168"/>
      <c r="AO77" s="170"/>
      <c r="AP77" s="167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  <c r="BA77" s="168"/>
      <c r="BB77" s="168"/>
      <c r="BC77" s="169"/>
    </row>
    <row r="78" spans="2:55" s="13" customFormat="1" x14ac:dyDescent="0.25">
      <c r="B78" s="158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60"/>
      <c r="U78" s="161" t="s">
        <v>9</v>
      </c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3"/>
      <c r="AJ78" s="185"/>
      <c r="AK78" s="159"/>
      <c r="AL78" s="159"/>
      <c r="AM78" s="159"/>
      <c r="AN78" s="159"/>
      <c r="AO78" s="160"/>
      <c r="AP78" s="185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86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5"/>
      <c r="L80" s="166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9" t="s">
        <v>27</v>
      </c>
      <c r="C82" s="140"/>
      <c r="D82" s="140"/>
      <c r="E82" s="140"/>
      <c r="F82" s="140"/>
      <c r="G82" s="140"/>
      <c r="H82" s="140"/>
      <c r="I82" s="140"/>
      <c r="J82" s="140"/>
      <c r="K82" s="141"/>
      <c r="L82" s="145" t="s">
        <v>10</v>
      </c>
      <c r="M82" s="140"/>
      <c r="N82" s="140"/>
      <c r="O82" s="140"/>
      <c r="P82" s="140"/>
      <c r="Q82" s="140"/>
      <c r="R82" s="140"/>
      <c r="S82" s="140"/>
      <c r="T82" s="141"/>
      <c r="U82" s="145" t="s">
        <v>11</v>
      </c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1"/>
      <c r="AH82" s="147" t="s">
        <v>63</v>
      </c>
      <c r="AI82" s="148"/>
      <c r="AJ82" s="148"/>
      <c r="AK82" s="148"/>
      <c r="AL82" s="148"/>
      <c r="AM82" s="148"/>
      <c r="AN82" s="148"/>
      <c r="AO82" s="149"/>
      <c r="AP82" s="145" t="s">
        <v>12</v>
      </c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53"/>
    </row>
    <row r="83" spans="2:56" s="13" customFormat="1" x14ac:dyDescent="0.25">
      <c r="B83" s="142"/>
      <c r="C83" s="143"/>
      <c r="D83" s="143"/>
      <c r="E83" s="143"/>
      <c r="F83" s="143"/>
      <c r="G83" s="143"/>
      <c r="H83" s="143"/>
      <c r="I83" s="143"/>
      <c r="J83" s="143"/>
      <c r="K83" s="144"/>
      <c r="L83" s="146"/>
      <c r="M83" s="143"/>
      <c r="N83" s="143"/>
      <c r="O83" s="143"/>
      <c r="P83" s="143"/>
      <c r="Q83" s="143"/>
      <c r="R83" s="143"/>
      <c r="S83" s="143"/>
      <c r="T83" s="144"/>
      <c r="U83" s="146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4"/>
      <c r="AH83" s="150"/>
      <c r="AI83" s="151"/>
      <c r="AJ83" s="151"/>
      <c r="AK83" s="151"/>
      <c r="AL83" s="151"/>
      <c r="AM83" s="151"/>
      <c r="AN83" s="151"/>
      <c r="AO83" s="152"/>
      <c r="AP83" s="146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54"/>
    </row>
    <row r="84" spans="2:56" s="13" customFormat="1" x14ac:dyDescent="0.25">
      <c r="B84" s="155"/>
      <c r="C84" s="65"/>
      <c r="D84" s="65"/>
      <c r="E84" s="65"/>
      <c r="F84" s="65"/>
      <c r="G84" s="65"/>
      <c r="H84" s="65"/>
      <c r="I84" s="65"/>
      <c r="J84" s="65"/>
      <c r="K84" s="156"/>
      <c r="L84" s="64"/>
      <c r="M84" s="65"/>
      <c r="N84" s="65"/>
      <c r="O84" s="65"/>
      <c r="P84" s="65"/>
      <c r="Q84" s="65"/>
      <c r="R84" s="65"/>
      <c r="S84" s="65"/>
      <c r="T84" s="156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6"/>
      <c r="AH84" s="64"/>
      <c r="AI84" s="65"/>
      <c r="AJ84" s="65"/>
      <c r="AK84" s="65"/>
      <c r="AL84" s="65"/>
      <c r="AM84" s="65"/>
      <c r="AN84" s="65"/>
      <c r="AO84" s="156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4"/>
      <c r="C85" s="135"/>
      <c r="D85" s="135"/>
      <c r="E85" s="135"/>
      <c r="F85" s="135"/>
      <c r="G85" s="135"/>
      <c r="H85" s="135"/>
      <c r="I85" s="135"/>
      <c r="J85" s="135"/>
      <c r="K85" s="136"/>
      <c r="L85" s="137"/>
      <c r="M85" s="135"/>
      <c r="N85" s="135"/>
      <c r="O85" s="135"/>
      <c r="P85" s="135"/>
      <c r="Q85" s="135"/>
      <c r="R85" s="135"/>
      <c r="S85" s="135"/>
      <c r="T85" s="136"/>
      <c r="U85" s="137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6"/>
      <c r="AH85" s="137"/>
      <c r="AI85" s="135"/>
      <c r="AJ85" s="135"/>
      <c r="AK85" s="135"/>
      <c r="AL85" s="135"/>
      <c r="AM85" s="135"/>
      <c r="AN85" s="135"/>
      <c r="AO85" s="136"/>
      <c r="AP85" s="137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8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3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2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3"/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/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/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4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8"/>
    </row>
    <row r="92" spans="2:56" x14ac:dyDescent="0.25">
      <c r="B92" s="125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8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8"/>
    </row>
    <row r="94" spans="2:56" x14ac:dyDescent="0.25">
      <c r="B94" s="129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8"/>
    </row>
    <row r="95" spans="2:56" x14ac:dyDescent="0.25">
      <c r="B95" s="35" t="s">
        <v>91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2023-11-28T00:59:08Z</cp:lastPrinted>
  <dcterms:created xsi:type="dcterms:W3CDTF">2017-05-29T04:13:43Z</dcterms:created>
  <dcterms:modified xsi:type="dcterms:W3CDTF">2025-08-28T08:19:09Z</dcterms:modified>
  <cp:category>School Form 10 - Junior High School Permanent Record redesigned by Wedzmer B. Munjilul of the School Forms Review 2017</cp:category>
</cp:coreProperties>
</file>